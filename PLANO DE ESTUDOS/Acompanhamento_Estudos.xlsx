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LEIA-ME" sheetId="2" state="visible" r:id="rId4"/>
    <sheet name="Checklist" sheetId="3" state="visible" r:id="rId5"/>
    <sheet name="Diario" sheetId="4" state="visible" r:id="rId6"/>
    <sheet name="Cronogram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<sst xmlns="http://schemas.openxmlformats.org/spreadsheetml/2006/main" count="598" uniqueCount="314">
  <si>
    <t xml:space="preserve">Painel de Estudos – Especialista em Power BI e Excel</t>
  </si>
  <si>
    <t xml:space="preserve">Tudo nesta aba é calculado automaticamente. Atualize apenas a aba Checklist (Status) e a aba Diario (horas).</t>
  </si>
  <si>
    <t xml:space="preserve">Tópicos</t>
  </si>
  <si>
    <t xml:space="preserve">Concluídos</t>
  </si>
  <si>
    <t xml:space="preserve">% Concluído</t>
  </si>
  <si>
    <t xml:space="preserve">Horas estudadas</t>
  </si>
  <si>
    <t xml:space="preserve">Status dos tópicos</t>
  </si>
  <si>
    <t xml:space="preserve">Não iniciado</t>
  </si>
  <si>
    <t xml:space="preserve">Estudando</t>
  </si>
  <si>
    <t xml:space="preserve">Revisar</t>
  </si>
  <si>
    <t xml:space="preserve">Concluído</t>
  </si>
  <si>
    <t xml:space="preserve">Progresso por bloco de conhecimento</t>
  </si>
  <si>
    <t xml:space="preserve">Bloco</t>
  </si>
  <si>
    <t xml:space="preserve">Horas</t>
  </si>
  <si>
    <t xml:space="preserve">Excel</t>
  </si>
  <si>
    <t xml:space="preserve">Power Query</t>
  </si>
  <si>
    <t xml:space="preserve">Power BI</t>
  </si>
  <si>
    <t xml:space="preserve">Dados</t>
  </si>
  <si>
    <t xml:space="preserve">Python</t>
  </si>
  <si>
    <t xml:space="preserve">Negócio</t>
  </si>
  <si>
    <t xml:space="preserve">Liberação dos pacotes para venda</t>
  </si>
  <si>
    <t xml:space="preserve">Nível Básico liberado = todos os tópicos Básico e Intermediário do pacote concluídos. Completo = todos, inclusive os Avançados.</t>
  </si>
  <si>
    <t xml:space="preserve">Pacote</t>
  </si>
  <si>
    <t xml:space="preserve">Nível Básico</t>
  </si>
  <si>
    <t xml:space="preserve">Completo (Padrão/Premium)</t>
  </si>
  <si>
    <t xml:space="preserve">Pacote 1 – Limpeza e Padronização</t>
  </si>
  <si>
    <t xml:space="preserve">Pacote 2 – Vendas e Estoque no Excel</t>
  </si>
  <si>
    <t xml:space="preserve">Pacote 3 – Dashboard Power BI</t>
  </si>
  <si>
    <t xml:space="preserve">Pacote 4 – Manutenção Recorrente</t>
  </si>
  <si>
    <t xml:space="preserve">Extras – Python e automação</t>
  </si>
  <si>
    <t xml:space="preserve">Acompanhamento de Estudos – Power BI e Excel</t>
  </si>
  <si>
    <t xml:space="preserve">61 tópicos organizados em 8 semanas, ligados aos 4 pacotes do portfólio e à Base_Ficticia_ECommerce.xlsx.</t>
  </si>
  <si>
    <t xml:space="preserve">ABA</t>
  </si>
  <si>
    <t xml:space="preserve">COMO USAR</t>
  </si>
  <si>
    <t xml:space="preserve">Painel</t>
  </si>
  <si>
    <t xml:space="preserve">Visão geral automática: % concluído, horas, progresso por bloco e quais pacotes já podem ser vendidos.</t>
  </si>
  <si>
    <t xml:space="preserve">Checklist</t>
  </si>
  <si>
    <t xml:space="preserve">Lista de tópicos. Altere a coluna Status (lista suspensa) e preencha as datas. Tópicos concluídos ficam riscados.</t>
  </si>
  <si>
    <t xml:space="preserve">Diario</t>
  </si>
  <si>
    <t xml:space="preserve">Registre cada sessão de estudo: data, ID do tópico (lista), horas e o que aprendeu. As horas somam no Checklist e no Painel.</t>
  </si>
  <si>
    <t xml:space="preserve">Cronograma</t>
  </si>
  <si>
    <t xml:space="preserve">Plano de 8 semanas. Altere a data de início (célula C3) e as datas das semanas se ajustam.</t>
  </si>
  <si>
    <t xml:space="preserve">CONVENÇÕES</t>
  </si>
  <si>
    <t xml:space="preserve">Fundo amarelo</t>
  </si>
  <si>
    <t xml:space="preserve">Células para você preencher (Status, datas, observações, diário).</t>
  </si>
  <si>
    <t xml:space="preserve">Texto azul</t>
  </si>
  <si>
    <t xml:space="preserve">Valores digitados por você. Texto preto = fórmulas (não altere).</t>
  </si>
  <si>
    <t xml:space="preserve">Status</t>
  </si>
  <si>
    <t xml:space="preserve">Não iniciado · Estudando · Revisar · Concluído</t>
  </si>
  <si>
    <t xml:space="preserve">Nível</t>
  </si>
  <si>
    <t xml:space="preserve">Básico (verde) · Intermediário (amarelo) · Avançado (vermelho)</t>
  </si>
  <si>
    <t xml:space="preserve">Pacotes</t>
  </si>
  <si>
    <t xml:space="preserve">1, 2, 3, 4 = pacotes do portfólio · E = Extras · Todos = vale para todos os pacotes</t>
  </si>
  <si>
    <t xml:space="preserve">DICA</t>
  </si>
  <si>
    <t xml:space="preserve">Marque como Concluído só depois de fazer o Exercício Prático na base de e-commerce. Use 'Revisar' para tópicos que precisam de reforço.</t>
  </si>
  <si>
    <t xml:space="preserve">Novo tópico</t>
  </si>
  <si>
    <t xml:space="preserve">Adicione uma linha no final da tabela do Checklist (ela se expande sozinha) com um novo ID, ex.: T62.</t>
  </si>
  <si>
    <t xml:space="preserve">ID</t>
  </si>
  <si>
    <t xml:space="preserve">Semana</t>
  </si>
  <si>
    <t xml:space="preserve">Tópico</t>
  </si>
  <si>
    <t xml:space="preserve">Data_Inicio</t>
  </si>
  <si>
    <t xml:space="preserve">Data_Conclusao</t>
  </si>
  <si>
    <t xml:space="preserve">Horas_Estudadas</t>
  </si>
  <si>
    <t xml:space="preserve">Fonte_Sugerida</t>
  </si>
  <si>
    <t xml:space="preserve">Exercicio_Pratico</t>
  </si>
  <si>
    <t xml:space="preserve">Observacoes</t>
  </si>
  <si>
    <t xml:space="preserve">T01</t>
  </si>
  <si>
    <t xml:space="preserve">1</t>
  </si>
  <si>
    <t xml:space="preserve">Tabelas formatadas (Ctrl+T) e boas práticas de nomes de colunas</t>
  </si>
  <si>
    <t xml:space="preserve">Básico</t>
  </si>
  <si>
    <t xml:space="preserve">Microsoft Learn / Hashtag</t>
  </si>
  <si>
    <t xml:space="preserve">Converter dClientes em tabela e renomear colunas</t>
  </si>
  <si>
    <t xml:space="preserve">T02</t>
  </si>
  <si>
    <t xml:space="preserve">Remover duplicadas (escolhendo as colunas-chave)</t>
  </si>
  <si>
    <t xml:space="preserve">Hashtag Treinamentos</t>
  </si>
  <si>
    <t xml:space="preserve">Base_Suja: remover clientes repetidos</t>
  </si>
  <si>
    <t xml:space="preserve">T03</t>
  </si>
  <si>
    <t xml:space="preserve">Funções de texto: ARRUMAR, PRI.MAIÚSCULA, SUBSTITUIR, ESQUERDA/DIREITA/EXT.TEXTO</t>
  </si>
  <si>
    <t xml:space="preserve">Base_Suja: padronizar NOME CLIENTE e cidade</t>
  </si>
  <si>
    <t xml:space="preserve">T04</t>
  </si>
  <si>
    <t xml:space="preserve">Texto para Colunas, TEXTOANTES/TEXTODEPOIS, concatenar</t>
  </si>
  <si>
    <t xml:space="preserve">Separar nome e sobrenome em dClientes</t>
  </si>
  <si>
    <t xml:space="preserve">T05</t>
  </si>
  <si>
    <t xml:space="preserve">1,2</t>
  </si>
  <si>
    <t xml:space="preserve">Funções de data: HOJE, DATA, MÊS, ANO, FIMMÊS, DATADIF, DIATRABALHOTOTAL</t>
  </si>
  <si>
    <t xml:space="preserve">Microsoft Learn</t>
  </si>
  <si>
    <t xml:space="preserve">Calcular tempo de cadastro dos clientes</t>
  </si>
  <si>
    <t xml:space="preserve">T06</t>
  </si>
  <si>
    <t xml:space="preserve">Funções lógicas: SE, SES, E, OU, SEERRO</t>
  </si>
  <si>
    <t xml:space="preserve">Classificar pedidos por faixa de valor</t>
  </si>
  <si>
    <t xml:space="preserve">T07</t>
  </si>
  <si>
    <t xml:space="preserve">2</t>
  </si>
  <si>
    <t xml:space="preserve">Referências relativas e absolutas ($)</t>
  </si>
  <si>
    <t xml:space="preserve">Montar tabela de faturamento por mês</t>
  </si>
  <si>
    <t xml:space="preserve">T08</t>
  </si>
  <si>
    <t xml:space="preserve">PROCX e ÍNDICE + CORRESP</t>
  </si>
  <si>
    <t xml:space="preserve">Intermediário</t>
  </si>
  <si>
    <t xml:space="preserve">Trazer a Categoria do produto para fVendas</t>
  </si>
  <si>
    <t xml:space="preserve">T09</t>
  </si>
  <si>
    <t xml:space="preserve">SOMASES, CONT.SES, MÉDIASES com critérios de data</t>
  </si>
  <si>
    <t xml:space="preserve">Refazer os KPIs da aba Resumo</t>
  </si>
  <si>
    <t xml:space="preserve">T10</t>
  </si>
  <si>
    <t xml:space="preserve">Tabela dinâmica: linhas, colunas, valores, filtros</t>
  </si>
  <si>
    <t xml:space="preserve">Faturamento por Categoria x Canal</t>
  </si>
  <si>
    <t xml:space="preserve">T11</t>
  </si>
  <si>
    <t xml:space="preserve">Gráfico dinâmico, Segmentação de Dados e Linha do Tempo</t>
  </si>
  <si>
    <t xml:space="preserve">Karine Lago</t>
  </si>
  <si>
    <t xml:space="preserve">Gráfico mensal com segmentação por canal</t>
  </si>
  <si>
    <t xml:space="preserve">T12</t>
  </si>
  <si>
    <t xml:space="preserve">Formatação condicional (regras, barras de dados, ícones)</t>
  </si>
  <si>
    <t xml:space="preserve">Alerta de estoque na aba fEstoque</t>
  </si>
  <si>
    <t xml:space="preserve">T13</t>
  </si>
  <si>
    <t xml:space="preserve">Validação de dados (listas suspensas) e Proteção de planilha</t>
  </si>
  <si>
    <t xml:space="preserve">Lista de Status nesta planilha / proteger fórmulas</t>
  </si>
  <si>
    <t xml:space="preserve">T14</t>
  </si>
  <si>
    <t xml:space="preserve">Matrizes dinâmicas: FILTRO, ÚNICO, CLASSIFICAR, LET (Microsoft 365)</t>
  </si>
  <si>
    <t xml:space="preserve">Top 10 produtos com CLASSIFICAR + FILTRO</t>
  </si>
  <si>
    <t xml:space="preserve">T15</t>
  </si>
  <si>
    <t xml:space="preserve">AMOSTRA 1 do portfólio: Antes x Depois da Base_Suja</t>
  </si>
  <si>
    <t xml:space="preserve">—</t>
  </si>
  <si>
    <t xml:space="preserve">Prints lado a lado + GIF</t>
  </si>
  <si>
    <t xml:space="preserve">T16</t>
  </si>
  <si>
    <t xml:space="preserve">1,2,3</t>
  </si>
  <si>
    <t xml:space="preserve">Importar dados: Excel, CSV, Web, Pasta</t>
  </si>
  <si>
    <t xml:space="preserve">Microsoft Learn (PL-300)</t>
  </si>
  <si>
    <t xml:space="preserve">Importar a aba Base_Suja</t>
  </si>
  <si>
    <t xml:space="preserve">T17</t>
  </si>
  <si>
    <t xml:space="preserve">Tipos de dados e Alterar Tipo com Localidade</t>
  </si>
  <si>
    <t xml:space="preserve">Base_Suja: corrigir datas em 4 formatos</t>
  </si>
  <si>
    <t xml:space="preserve">T18</t>
  </si>
  <si>
    <t xml:space="preserve">Limpar, Aparar, Substituir valores, Remover linhas em branco/erros</t>
  </si>
  <si>
    <t xml:space="preserve">Base_Suja: limpar telefone e Total Gasto</t>
  </si>
  <si>
    <t xml:space="preserve">T19</t>
  </si>
  <si>
    <t xml:space="preserve">Dividir e mesclar colunas, Extrair, Coluna condicional, Coluna personalizada</t>
  </si>
  <si>
    <t xml:space="preserve">Leonardo Karpinski</t>
  </si>
  <si>
    <t xml:space="preserve">Criar coluna Faixa de Gasto</t>
  </si>
  <si>
    <t xml:space="preserve">T20</t>
  </si>
  <si>
    <t xml:space="preserve">1,3</t>
  </si>
  <si>
    <t xml:space="preserve">Mesclar consultas (JOIN) e Acrescentar consultas (UNION)</t>
  </si>
  <si>
    <t xml:space="preserve">Juntar fVendas com dProdutos</t>
  </si>
  <si>
    <t xml:space="preserve">T21</t>
  </si>
  <si>
    <t xml:space="preserve">Transformar colunas em linhas (unpivot) e Dinamizar</t>
  </si>
  <si>
    <t xml:space="preserve">Despivotar a tabela mensal da aba Resumo</t>
  </si>
  <si>
    <t xml:space="preserve">T22</t>
  </si>
  <si>
    <t xml:space="preserve">1,4</t>
  </si>
  <si>
    <t xml:space="preserve">Obter dados de Pasta (vários arquivos) e consulta reaproveitável</t>
  </si>
  <si>
    <t xml:space="preserve">Separar fVendas por ano em CSVs e combinar</t>
  </si>
  <si>
    <t xml:space="preserve">T23</t>
  </si>
  <si>
    <t xml:space="preserve">Linguagem M: editor avançado e parâmetros</t>
  </si>
  <si>
    <t xml:space="preserve">Avançado</t>
  </si>
  <si>
    <t xml:space="preserve">Parametrizar o caminho da pasta de origem</t>
  </si>
  <si>
    <t xml:space="preserve">T24</t>
  </si>
  <si>
    <t xml:space="preserve">Montagem de painel (dashboard) no Excel: layout, cartões de KPI, gráficos</t>
  </si>
  <si>
    <t xml:space="preserve">AMOSTRA 2 do portfólio: painel de vendas e estoque</t>
  </si>
  <si>
    <t xml:space="preserve">T25</t>
  </si>
  <si>
    <t xml:space="preserve">KPIs de e-commerce: faturamento, ticket médio, margem</t>
  </si>
  <si>
    <t xml:space="preserve">Blogs Nuvemshop / Yampi</t>
  </si>
  <si>
    <t xml:space="preserve">Conferir os KPIs da aba Resumo</t>
  </si>
  <si>
    <t xml:space="preserve">T26</t>
  </si>
  <si>
    <t xml:space="preserve">Curva ABC de produtos</t>
  </si>
  <si>
    <t xml:space="preserve">Montar curva ABC com fVendas</t>
  </si>
  <si>
    <t xml:space="preserve">T27</t>
  </si>
  <si>
    <t xml:space="preserve">Giro de estoque, estoque mínimo e ponto de pedido</t>
  </si>
  <si>
    <t xml:space="preserve">Blogs de gestão de estoque</t>
  </si>
  <si>
    <t xml:space="preserve">Calcular giro em fEstoque</t>
  </si>
  <si>
    <t xml:space="preserve">T28</t>
  </si>
  <si>
    <t xml:space="preserve">Todos</t>
  </si>
  <si>
    <t xml:space="preserve">Levantamento de requisitos com o cliente</t>
  </si>
  <si>
    <t xml:space="preserve">Roteiro de 6 perguntas (seção 5 do portfólio)</t>
  </si>
  <si>
    <t xml:space="preserve">T29</t>
  </si>
  <si>
    <t xml:space="preserve">Gravar vídeo tutorial de entrega (OBS / Loom)</t>
  </si>
  <si>
    <t xml:space="preserve">YouTube</t>
  </si>
  <si>
    <t xml:space="preserve">Vídeo de 30s da amostra 2</t>
  </si>
  <si>
    <t xml:space="preserve">T30</t>
  </si>
  <si>
    <t xml:space="preserve">2,3</t>
  </si>
  <si>
    <t xml:space="preserve">Exportações das plataformas (Nuvemshop, Yampi, Shopee, Mercado Livre, Bling)</t>
  </si>
  <si>
    <t xml:space="preserve">Central de ajuda de cada plataforma</t>
  </si>
  <si>
    <t xml:space="preserve">Mapear colunas de um relatório real</t>
  </si>
  <si>
    <t xml:space="preserve">T31</t>
  </si>
  <si>
    <t xml:space="preserve">E</t>
  </si>
  <si>
    <t xml:space="preserve">pandas: ler, limpar, juntar e agrupar dados</t>
  </si>
  <si>
    <t xml:space="preserve">Documentação pandas / Kaggle Learn</t>
  </si>
  <si>
    <t xml:space="preserve">Limpar a Base_Suja com pandas</t>
  </si>
  <si>
    <t xml:space="preserve">T32</t>
  </si>
  <si>
    <t xml:space="preserve">3</t>
  </si>
  <si>
    <t xml:space="preserve">Google Sheets como fonte de dados</t>
  </si>
  <si>
    <t xml:space="preserve">Conectar uma planilha do Google</t>
  </si>
  <si>
    <t xml:space="preserve">T33</t>
  </si>
  <si>
    <t xml:space="preserve">Interface do Power BI Desktop e Obter Dados</t>
  </si>
  <si>
    <t xml:space="preserve">Importar as tabelas tb* da base</t>
  </si>
  <si>
    <t xml:space="preserve">T34</t>
  </si>
  <si>
    <t xml:space="preserve">Esquema estrela: tabelas fato x dimensão</t>
  </si>
  <si>
    <t xml:space="preserve">Desenhar o modelo da base de e-commerce</t>
  </si>
  <si>
    <t xml:space="preserve">T35</t>
  </si>
  <si>
    <t xml:space="preserve">Relacionamentos: cardinalidade 1:N e direção do filtro</t>
  </si>
  <si>
    <t xml:space="preserve">Relacionar tbVendas com as 4 dimensões</t>
  </si>
  <si>
    <t xml:space="preserve">T36</t>
  </si>
  <si>
    <t xml:space="preserve">Tabela calendário (marcar como tabela de datas)</t>
  </si>
  <si>
    <t xml:space="preserve">Usar tbCalendario no modelo</t>
  </si>
  <si>
    <t xml:space="preserve">T37</t>
  </si>
  <si>
    <t xml:space="preserve">Visuais: cartões, barras, linhas, matriz, mapa</t>
  </si>
  <si>
    <t xml:space="preserve">Página 1 do dashboard</t>
  </si>
  <si>
    <t xml:space="preserve">T38</t>
  </si>
  <si>
    <t xml:space="preserve">Segmentações, interação entre visuais e sincronização entre páginas</t>
  </si>
  <si>
    <t xml:space="preserve">Filtros por mês, vendedor e categoria</t>
  </si>
  <si>
    <t xml:space="preserve">T39</t>
  </si>
  <si>
    <t xml:space="preserve">3,E</t>
  </si>
  <si>
    <t xml:space="preserve">SQL: SELECT, JOIN, GROUP BY, views</t>
  </si>
  <si>
    <t xml:space="preserve">SQLBolt / Mode SQL Tutorial</t>
  </si>
  <si>
    <t xml:space="preserve">Importar a base em SQLite/MySQL e consultar</t>
  </si>
  <si>
    <t xml:space="preserve">T40</t>
  </si>
  <si>
    <t xml:space="preserve">DAX básico: SUM, COUNTROWS, DISTINCTCOUNT, DIVIDE, AVERAGE</t>
  </si>
  <si>
    <t xml:space="preserve">Medidas Faturamento, Pedidos, Ticket Médio</t>
  </si>
  <si>
    <t xml:space="preserve">T41</t>
  </si>
  <si>
    <t xml:space="preserve">Medida x coluna calculada; contexto de linha x contexto de filtro</t>
  </si>
  <si>
    <t xml:space="preserve">SQLBI (sqlbi.com)</t>
  </si>
  <si>
    <t xml:space="preserve">Explicar por escrito a diferença</t>
  </si>
  <si>
    <t xml:space="preserve">T42</t>
  </si>
  <si>
    <t xml:space="preserve">CALCULATE, FILTER, ALL, ALLEXCEPT, REMOVEFILTERS</t>
  </si>
  <si>
    <t xml:space="preserve">SQLBI / Leonardo Karpinski</t>
  </si>
  <si>
    <t xml:space="preserve">% de participação por categoria</t>
  </si>
  <si>
    <t xml:space="preserve">T43</t>
  </si>
  <si>
    <t xml:space="preserve">Iteradores: SUMX, AVERAGEX (margem e lucro)</t>
  </si>
  <si>
    <t xml:space="preserve">SQLBI</t>
  </si>
  <si>
    <t xml:space="preserve">Medida Lucro = SUMX(Qtd × (Preço − Custo))</t>
  </si>
  <si>
    <t xml:space="preserve">T44</t>
  </si>
  <si>
    <t xml:space="preserve">openpyxl: gerar Excel formatado com fórmulas</t>
  </si>
  <si>
    <t xml:space="preserve">Documentação openpyxl</t>
  </si>
  <si>
    <t xml:space="preserve">Estudar o script gerar_base.py</t>
  </si>
  <si>
    <t xml:space="preserve">T45</t>
  </si>
  <si>
    <t xml:space="preserve">Storytelling com dados</t>
  </si>
  <si>
    <t xml:space="preserve">Livro: Storytelling com Dados (Cole Knaflic)</t>
  </si>
  <si>
    <t xml:space="preserve">Revisar o dashboard com menos gráficos</t>
  </si>
  <si>
    <t xml:space="preserve">T46</t>
  </si>
  <si>
    <t xml:space="preserve">Inteligência de tempo: TOTALYTD, SAMEPERIODLASTYEAR, DATEADD</t>
  </si>
  <si>
    <t xml:space="preserve">SQLBI / Microsoft Learn</t>
  </si>
  <si>
    <t xml:space="preserve">Faturamento x mesmo mês do ano anterior</t>
  </si>
  <si>
    <t xml:space="preserve">T47</t>
  </si>
  <si>
    <t xml:space="preserve">RANKX, TOPN, SWITCH, VAR/RETURN</t>
  </si>
  <si>
    <t xml:space="preserve">Ranking de vendedores e % da meta</t>
  </si>
  <si>
    <t xml:space="preserve">T48</t>
  </si>
  <si>
    <t xml:space="preserve">Tema JSON, identidade visual e layout profissional</t>
  </si>
  <si>
    <t xml:space="preserve">Tema com as cores de uma marca fictícia</t>
  </si>
  <si>
    <t xml:space="preserve">T49</t>
  </si>
  <si>
    <t xml:space="preserve">Drill-through, dicas de ferramenta e indicadores (bookmarks)</t>
  </si>
  <si>
    <t xml:space="preserve">Página de detalhe do produto</t>
  </si>
  <si>
    <t xml:space="preserve">T50</t>
  </si>
  <si>
    <t xml:space="preserve">Montar o dashboard executivo completo (3 páginas)</t>
  </si>
  <si>
    <t xml:space="preserve">AMOSTRA 3 do portfólio</t>
  </si>
  <si>
    <t xml:space="preserve">T51</t>
  </si>
  <si>
    <t xml:space="preserve">requests: consumir APIs de e-commerce</t>
  </si>
  <si>
    <t xml:space="preserve">Documentação requests / API Nuvemshop</t>
  </si>
  <si>
    <t xml:space="preserve">Ler a documentação da API da Nuvemshop</t>
  </si>
  <si>
    <t xml:space="preserve">T52</t>
  </si>
  <si>
    <t xml:space="preserve">LGPD: tratamento e descarte de dados do cliente</t>
  </si>
  <si>
    <t xml:space="preserve">gov.br/anpd</t>
  </si>
  <si>
    <t xml:space="preserve">Texto de política de sigilo</t>
  </si>
  <si>
    <t xml:space="preserve">T53</t>
  </si>
  <si>
    <t xml:space="preserve">Precificação, escopo e revisões</t>
  </si>
  <si>
    <t xml:space="preserve">Revisar preços do portfólio</t>
  </si>
  <si>
    <t xml:space="preserve">T54</t>
  </si>
  <si>
    <t xml:space="preserve">4</t>
  </si>
  <si>
    <t xml:space="preserve">Checklist de conferência de dados (totais, duplicados, valores fora do padrão)</t>
  </si>
  <si>
    <t xml:space="preserve">Criar o checklist do Pacote 4</t>
  </si>
  <si>
    <t xml:space="preserve">T55</t>
  </si>
  <si>
    <t xml:space="preserve">Diagnóstico de falhas de atualização (credenciais, colunas renomeadas)</t>
  </si>
  <si>
    <t xml:space="preserve">Renomear uma coluna na fonte e corrigir o erro</t>
  </si>
  <si>
    <t xml:space="preserve">T56</t>
  </si>
  <si>
    <t xml:space="preserve">Conectar Power BI a MySQL, PostgreSQL e SQL Server</t>
  </si>
  <si>
    <t xml:space="preserve">Conectar o Power BI ao banco criado</t>
  </si>
  <si>
    <t xml:space="preserve">T57</t>
  </si>
  <si>
    <t xml:space="preserve">3,4</t>
  </si>
  <si>
    <t xml:space="preserve">Power BI Service: workspace, publicar e compartilhar</t>
  </si>
  <si>
    <t xml:space="preserve">Publicar o dashboard (conta gratuita/teste Pro)</t>
  </si>
  <si>
    <t xml:space="preserve">T58</t>
  </si>
  <si>
    <t xml:space="preserve">Atualização agendada e Gateway de dados local</t>
  </si>
  <si>
    <t xml:space="preserve">Agendar atualização diária</t>
  </si>
  <si>
    <t xml:space="preserve">T59</t>
  </si>
  <si>
    <t xml:space="preserve">Segurança por usuário (RLS) e USERPRINCIPALNAME</t>
  </si>
  <si>
    <t xml:space="preserve">RLS por região dos vendedores</t>
  </si>
  <si>
    <t xml:space="preserve">T60</t>
  </si>
  <si>
    <t xml:space="preserve">Licenças: Gratuita, Pro, Premium/Fabric</t>
  </si>
  <si>
    <t xml:space="preserve">Resumo de 5 linhas para explicar ao cliente</t>
  </si>
  <si>
    <t xml:space="preserve">T61</t>
  </si>
  <si>
    <t xml:space="preserve">Agendar scripts no Agendador de Tarefas do Windows</t>
  </si>
  <si>
    <t xml:space="preserve">Microsoft Docs</t>
  </si>
  <si>
    <t xml:space="preserve">Agendar o gerar_base.py</t>
  </si>
  <si>
    <t xml:space="preserve">Data</t>
  </si>
  <si>
    <t xml:space="preserve">ID_Topico</t>
  </si>
  <si>
    <t xml:space="preserve">Topico (automático)</t>
  </si>
  <si>
    <t xml:space="preserve">O que aprendi / dúvidas</t>
  </si>
  <si>
    <t xml:space="preserve">EXEMPLO – substitua por um registro real (horas = 0 para não contar)</t>
  </si>
  <si>
    <t xml:space="preserve">Cronograma de 8 semanas (1 a 2 h por dia)</t>
  </si>
  <si>
    <t xml:space="preserve">Data de início do estudo:</t>
  </si>
  <si>
    <t xml:space="preserve">← altere para a sua data (segunda-feira)</t>
  </si>
  <si>
    <t xml:space="preserve">Início</t>
  </si>
  <si>
    <t xml:space="preserve">Fim</t>
  </si>
  <si>
    <t xml:space="preserve">Foco</t>
  </si>
  <si>
    <t xml:space="preserve">Libera</t>
  </si>
  <si>
    <t xml:space="preserve">% Semana</t>
  </si>
  <si>
    <t xml:space="preserve">Excel: tabelas, fórmulas básicas, texto, data, lógica</t>
  </si>
  <si>
    <t xml:space="preserve">Excel: PROCX, SOMASES, tabela dinâmica, formatação condicional</t>
  </si>
  <si>
    <t xml:space="preserve">Pacotes 1 e 2 (Básico)</t>
  </si>
  <si>
    <t xml:space="preserve">Power Query + AMOSTRA 1</t>
  </si>
  <si>
    <t xml:space="preserve">Pacote 1 completo</t>
  </si>
  <si>
    <t xml:space="preserve">Painel no Excel, KPIs de e-commerce, pandas + AMOSTRA 2</t>
  </si>
  <si>
    <t xml:space="preserve">Pacote 2 completo</t>
  </si>
  <si>
    <t xml:space="preserve">Power BI: interface, modelagem estrela, visuais</t>
  </si>
  <si>
    <t xml:space="preserve">Pacote 3 (Básico)</t>
  </si>
  <si>
    <t xml:space="preserve">DAX: básico, CALCULATE, iteradores + SQL</t>
  </si>
  <si>
    <t xml:space="preserve">Pacote 3 (Padrão)</t>
  </si>
  <si>
    <t xml:space="preserve">DAX de tempo, ranking, tema, drill-through + AMOSTRA 3</t>
  </si>
  <si>
    <t xml:space="preserve">Power BI Service, Gateway, RLS, manutenção, LGPD</t>
  </si>
  <si>
    <t xml:space="preserve">Pacote 3 Premium + Pacote 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</si>
</sst>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%"/>
    <numFmt numFmtId="167" formatCode="0.0"/>
    <numFmt numFmtId="168" formatCode="General"/>
    <numFmt numFmtId="169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3D6E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0F3D6E"/>
      <name val="Arial"/>
      <family val="0"/>
      <charset val="1"/>
    </font>
    <font>
      <b val="true"/>
      <sz val="12"/>
      <color rgb="FF0F3D6E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0F3D6E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0F3D6E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3D6E"/>
        <bgColor rgb="FF333399"/>
      </patternFill>
    </fill>
    <fill>
      <patternFill patternType="solid">
        <fgColor rgb="FFF3F6FA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D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7F6000"/>
      </font>
      <fill>
        <patternFill>
          <bgColor rgb="FFFFF2CC"/>
        </patternFill>
      </fill>
    </dxf>
    <dxf>
      <fill>
        <patternFill patternType="solid">
          <fgColor rgb="FF0F3D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F2F2F2"/>
        </patternFill>
      </fill>
    </dxf>
    <dxf>
      <font>
        <name val="Arial"/>
        <charset val="1"/>
        <family val="0"/>
        <strike val="1"/>
        <color rgb="FF808080"/>
      </font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BF8F00"/>
      </font>
    </dxf>
    <dxf>
      <font>
        <name val="Arial"/>
        <charset val="1"/>
        <family val="0"/>
        <b val="1"/>
        <color rgb="FF548235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D9D9D9"/>
      <rgbColor rgb="FF808080"/>
      <rgbColor rgb="FF9999FF"/>
      <rgbColor rgb="FF993366"/>
      <rgbColor rgb="FFFFF2CC"/>
      <rgbColor rgb="FFF3F6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99CCFF"/>
      <rgbColor rgb="FFFF99CC"/>
      <rgbColor rgb="FFCC99FF"/>
      <rgbColor rgb="FFD6DDE6"/>
      <rgbColor rgb="FF3366FF"/>
      <rgbColor rgb="FF33CCCC"/>
      <rgbColor rgb="FF99CC00"/>
      <rgbColor rgb="FFFFCC00"/>
      <rgbColor rgb="FFBF8F00"/>
      <rgbColor rgb="FFFF6600"/>
      <rgbColor rgb="FF4F81BD"/>
      <rgbColor rgb="FF878787"/>
      <rgbColor rgb="FF0F3D6E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concluído por bloco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Painel!D13</c:f>
              <c:strCache>
                <c:ptCount val="1"/>
                <c:pt idx="0">
                  <c:v>% Concluído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Painel!$A$14:$A$19</c:f>
              <c:strCache>
                <c:ptCount val="6"/>
                <c:pt idx="0">
                  <c:v>Excel</c:v>
                </c:pt>
                <c:pt idx="1">
                  <c:v>Power Query</c:v>
                </c:pt>
                <c:pt idx="2">
                  <c:v>Power BI</c:v>
                </c:pt>
                <c:pt idx="3">
                  <c:v>Dados</c:v>
                </c:pt>
                <c:pt idx="4">
                  <c:v>Python</c:v>
                </c:pt>
                <c:pt idx="5">
                  <c:v>Negócio</c:v>
                </c:pt>
              </c:strCache>
            </c:strRef>
          </c:cat>
          <c:val>
            <c:numRef>
              <c:f>Painel!$D$14:$D$19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98450030"/>
        <c:axId val="68137678"/>
      </c:barChart>
      <c:catAx>
        <c:axId val="984500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37678"/>
        <c:crosses val="autoZero"/>
        <c:auto val="1"/>
        <c:lblAlgn val="ctr"/>
        <c:lblOffset val="100"/>
        <c:noMultiLvlLbl val="0"/>
      </c:catAx>
      <c:valAx>
        <c:axId val="6813767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500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130680</xdr:rowOff>
    </xdr:from>
    <xdr:to>
      <xdr:col>16</xdr:col>
      <xdr:colOff>399240</xdr:colOff>
      <xdr:row>12</xdr:row>
      <xdr:rowOff>288000</xdr:rowOff>
    </xdr:to>
    <xdr:graphicFrame>
      <xdr:nvGraphicFramePr>
        <xdr:cNvPr id="0" name="Chart 1"/>
        <xdr:cNvGraphicFramePr/>
      </xdr:nvGraphicFramePr>
      <xdr:xfrm>
        <a:off x="9069840" y="3808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Checklist" displayName="tbChecklist" ref="A1:M62" headerRowCount="1" totalsRowCount="0" totalsRowShown="0">
  <autoFilter ref="A1:M62"/>
  <tableColumns count="13">
    <tableColumn id="1" name="ID"/>
    <tableColumn id="2" name="Semana"/>
    <tableColumn id="3" name="Bloco"/>
    <tableColumn id="4" name="Pacotes"/>
    <tableColumn id="5" name="Tópico"/>
    <tableColumn id="6" name="Nível"/>
    <tableColumn id="7" name="Status"/>
    <tableColumn id="8" name="Data_Inicio"/>
    <tableColumn id="9" name="Data_Conclusao"/>
    <tableColumn id="10" name="Horas_Estudadas"/>
    <tableColumn id="11" name="Fonte_Sugerida"/>
    <tableColumn id="12" name="Exercicio_Pratico"/>
    <tableColumn id="13" name="Observaco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8" min="7" style="0" width="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/>
      <c r="C3" s="3" t="s">
        <v>3</v>
      </c>
      <c r="D3" s="3"/>
      <c r="E3" s="3" t="s">
        <v>4</v>
      </c>
      <c r="F3" s="3"/>
      <c r="G3" s="3" t="s">
        <v>5</v>
      </c>
      <c r="H3" s="3"/>
    </row>
    <row r="4" customFormat="false" ht="36" hidden="false" customHeight="true" outlineLevel="0" collapsed="false">
      <c r="A4" s="4" t="n">
        <f aca="false">COUNTA(Checklist!$A$2:$A$62)</f>
        <v>61</v>
      </c>
      <c r="B4" s="4"/>
      <c r="C4" s="4" t="n">
        <f aca="false">COUNTIF(Checklist!$G$2:$G$62,"Concluído")</f>
        <v>0</v>
      </c>
      <c r="D4" s="4"/>
      <c r="E4" s="5" t="n">
        <f aca="false">IF(A4=0,0,C4/A4)</f>
        <v>0</v>
      </c>
      <c r="F4" s="5"/>
      <c r="G4" s="6" t="n">
        <f aca="false">SUM(Diario!$D$2:$D$400)</f>
        <v>0</v>
      </c>
      <c r="H4" s="6"/>
    </row>
    <row r="6" customFormat="false" ht="15" hidden="false" customHeight="false" outlineLevel="0" collapsed="false">
      <c r="A6" s="7" t="s">
        <v>6</v>
      </c>
    </row>
    <row r="7" customFormat="false" ht="15" hidden="false" customHeight="false" outlineLevel="0" collapsed="false">
      <c r="A7" s="8" t="s">
        <v>7</v>
      </c>
      <c r="B7" s="9" t="n">
        <f aca="false">COUNTIF(Checklist!$G$2:$G$62,A7)</f>
        <v>61</v>
      </c>
    </row>
    <row r="8" customFormat="false" ht="15" hidden="false" customHeight="false" outlineLevel="0" collapsed="false">
      <c r="A8" s="8" t="s">
        <v>8</v>
      </c>
      <c r="B8" s="9" t="n">
        <f aca="false">COUNTIF(Checklist!$G$2:$G$62,A8)</f>
        <v>0</v>
      </c>
    </row>
    <row r="9" customFormat="false" ht="15" hidden="false" customHeight="false" outlineLevel="0" collapsed="false">
      <c r="A9" s="8" t="s">
        <v>9</v>
      </c>
      <c r="B9" s="9" t="n">
        <f aca="false">COUNTIF(Checklist!$G$2:$G$62,A9)</f>
        <v>0</v>
      </c>
    </row>
    <row r="10" customFormat="false" ht="15" hidden="false" customHeight="false" outlineLevel="0" collapsed="false">
      <c r="A10" s="8" t="s">
        <v>10</v>
      </c>
      <c r="B10" s="9" t="n">
        <f aca="false">COUNTIF(Checklist!$G$2:$G$62,A10)</f>
        <v>0</v>
      </c>
    </row>
    <row r="12" customFormat="false" ht="15" hidden="false" customHeight="false" outlineLevel="0" collapsed="false">
      <c r="A12" s="7" t="s">
        <v>11</v>
      </c>
    </row>
    <row r="13" customFormat="false" ht="26.85" hidden="false" customHeight="false" outlineLevel="0" collapsed="false">
      <c r="A13" s="10" t="s">
        <v>12</v>
      </c>
      <c r="B13" s="10" t="s">
        <v>2</v>
      </c>
      <c r="C13" s="10" t="s">
        <v>3</v>
      </c>
      <c r="D13" s="10" t="s">
        <v>4</v>
      </c>
      <c r="E13" s="10" t="s">
        <v>13</v>
      </c>
    </row>
    <row r="14" customFormat="false" ht="15" hidden="false" customHeight="false" outlineLevel="0" collapsed="false">
      <c r="A14" s="11" t="s">
        <v>14</v>
      </c>
      <c r="B14" s="11" t="n">
        <f aca="false">COUNTIF(Checklist!$C$2:$C$62,A14)</f>
        <v>16</v>
      </c>
      <c r="C14" s="11" t="n">
        <f aca="false">COUNTIFS(Checklist!$C$2:$C$62,A14,Checklist!$G$2:$G$62,"Concluído")</f>
        <v>0</v>
      </c>
      <c r="D14" s="12" t="n">
        <f aca="false">IF(B14=0,0,C14/B14)</f>
        <v>0</v>
      </c>
      <c r="E14" s="13" t="n">
        <f aca="false">SUMIFS(Checklist!$J$2:$J$62,Checklist!$C$2:$C$62,A14)</f>
        <v>0</v>
      </c>
    </row>
    <row r="15" customFormat="false" ht="15" hidden="false" customHeight="false" outlineLevel="0" collapsed="false">
      <c r="A15" s="11" t="s">
        <v>15</v>
      </c>
      <c r="B15" s="11" t="n">
        <f aca="false">COUNTIF(Checklist!$C$2:$C$62,A15)</f>
        <v>8</v>
      </c>
      <c r="C15" s="11" t="n">
        <f aca="false">COUNTIFS(Checklist!$C$2:$C$62,A15,Checklist!$G$2:$G$62,"Concluído")</f>
        <v>0</v>
      </c>
      <c r="D15" s="12" t="n">
        <f aca="false">IF(B15=0,0,C15/B15)</f>
        <v>0</v>
      </c>
      <c r="E15" s="13" t="n">
        <f aca="false">SUMIFS(Checklist!$J$2:$J$62,Checklist!$C$2:$C$62,A15)</f>
        <v>0</v>
      </c>
    </row>
    <row r="16" customFormat="false" ht="15" hidden="false" customHeight="false" outlineLevel="0" collapsed="false">
      <c r="A16" s="11" t="s">
        <v>16</v>
      </c>
      <c r="B16" s="11" t="n">
        <f aca="false">COUNTIF(Checklist!$C$2:$C$62,A16)</f>
        <v>19</v>
      </c>
      <c r="C16" s="11" t="n">
        <f aca="false">COUNTIFS(Checklist!$C$2:$C$62,A16,Checklist!$G$2:$G$62,"Concluído")</f>
        <v>0</v>
      </c>
      <c r="D16" s="12" t="n">
        <f aca="false">IF(B16=0,0,C16/B16)</f>
        <v>0</v>
      </c>
      <c r="E16" s="13" t="n">
        <f aca="false">SUMIFS(Checklist!$J$2:$J$62,Checklist!$C$2:$C$62,A16)</f>
        <v>0</v>
      </c>
    </row>
    <row r="17" customFormat="false" ht="15" hidden="false" customHeight="false" outlineLevel="0" collapsed="false">
      <c r="A17" s="11" t="s">
        <v>17</v>
      </c>
      <c r="B17" s="11" t="n">
        <f aca="false">COUNTIF(Checklist!$C$2:$C$62,A17)</f>
        <v>6</v>
      </c>
      <c r="C17" s="11" t="n">
        <f aca="false">COUNTIFS(Checklist!$C$2:$C$62,A17,Checklist!$G$2:$G$62,"Concluído")</f>
        <v>0</v>
      </c>
      <c r="D17" s="12" t="n">
        <f aca="false">IF(B17=0,0,C17/B17)</f>
        <v>0</v>
      </c>
      <c r="E17" s="13" t="n">
        <f aca="false">SUMIFS(Checklist!$J$2:$J$62,Checklist!$C$2:$C$62,A17)</f>
        <v>0</v>
      </c>
    </row>
    <row r="18" customFormat="false" ht="15" hidden="false" customHeight="false" outlineLevel="0" collapsed="false">
      <c r="A18" s="11" t="s">
        <v>18</v>
      </c>
      <c r="B18" s="11" t="n">
        <f aca="false">COUNTIF(Checklist!$C$2:$C$62,A18)</f>
        <v>4</v>
      </c>
      <c r="C18" s="11" t="n">
        <f aca="false">COUNTIFS(Checklist!$C$2:$C$62,A18,Checklist!$G$2:$G$62,"Concluído")</f>
        <v>0</v>
      </c>
      <c r="D18" s="12" t="n">
        <f aca="false">IF(B18=0,0,C18/B18)</f>
        <v>0</v>
      </c>
      <c r="E18" s="13" t="n">
        <f aca="false">SUMIFS(Checklist!$J$2:$J$62,Checklist!$C$2:$C$62,A18)</f>
        <v>0</v>
      </c>
    </row>
    <row r="19" customFormat="false" ht="15" hidden="false" customHeight="false" outlineLevel="0" collapsed="false">
      <c r="A19" s="11" t="s">
        <v>19</v>
      </c>
      <c r="B19" s="11" t="n">
        <f aca="false">COUNTIF(Checklist!$C$2:$C$62,A19)</f>
        <v>8</v>
      </c>
      <c r="C19" s="11" t="n">
        <f aca="false">COUNTIFS(Checklist!$C$2:$C$62,A19,Checklist!$G$2:$G$62,"Concluído")</f>
        <v>0</v>
      </c>
      <c r="D19" s="12" t="n">
        <f aca="false">IF(B19=0,0,C19/B19)</f>
        <v>0</v>
      </c>
      <c r="E19" s="13" t="n">
        <f aca="false">SUMIFS(Checklist!$J$2:$J$62,Checklist!$C$2:$C$62,A19)</f>
        <v>0</v>
      </c>
    </row>
    <row r="22" customFormat="false" ht="15" hidden="false" customHeight="false" outlineLevel="0" collapsed="false">
      <c r="A22" s="7" t="s">
        <v>20</v>
      </c>
    </row>
    <row r="23" customFormat="false" ht="15" hidden="false" customHeight="false" outlineLevel="0" collapsed="false">
      <c r="A23" s="2" t="s">
        <v>21</v>
      </c>
    </row>
    <row r="24" customFormat="false" ht="26.85" hidden="false" customHeight="false" outlineLevel="0" collapsed="false">
      <c r="A24" s="10" t="s">
        <v>22</v>
      </c>
      <c r="B24" s="10" t="s">
        <v>2</v>
      </c>
      <c r="C24" s="10" t="s">
        <v>3</v>
      </c>
      <c r="D24" s="10" t="s">
        <v>4</v>
      </c>
      <c r="E24" s="10" t="s">
        <v>23</v>
      </c>
      <c r="F24" s="10" t="s">
        <v>24</v>
      </c>
    </row>
    <row r="25" customFormat="false" ht="15" hidden="false" customHeight="false" outlineLevel="0" collapsed="false">
      <c r="A25" s="11" t="s">
        <v>25</v>
      </c>
      <c r="B25" s="11" t="n">
        <f aca="false">COUNTIF(Checklist!$D$2:$D$62,"*1*")+COUNTIF(Checklist!$D$2:$D$62,"Todos")</f>
        <v>21</v>
      </c>
      <c r="C25" s="11" t="n">
        <f aca="false">COUNTIFS(Checklist!$D$2:$D$62,"*1*",Checklist!$G$2:$G$62,"Concluído")+COUNTIFS(Checklist!$D$2:$D$62,"Todos",Checklist!$G$2:$G$62,"Concluído")</f>
        <v>0</v>
      </c>
      <c r="D25" s="12" t="n">
        <f aca="false">IF(B25=0,0,C25/B25)</f>
        <v>0</v>
      </c>
      <c r="E25" s="11" t="str">
        <f aca="false">IF(COUNTIFS(Checklist!$D$2:$D$62,"*1*",Checklist!$F$2:$F$62,"&lt;&gt;Avançado",Checklist!$G$2:$G$62,"Concluído")+COUNTIFS(Checklist!$D$2:$D$62,"Todos",Checklist!$F$2:$F$62,"&lt;&gt;Avançado",Checklist!$G$2:$G$62,"Concluído")=COUNTIFS(Checklist!$D$2:$D$62,"*1*",Checklist!$F$2:$F$62,"&lt;&gt;Avançado")+COUNTIFS(Checklist!$D$2:$D$62,"Todos",Checklist!$F$2:$F$62,"&lt;&gt;Avançado"),"✔ PODE VENDER","Em preparação")</f>
        <v>Em preparação</v>
      </c>
      <c r="F25" s="11" t="str">
        <f aca="false">IF(C25=B25,"✔ PODE VENDER","Em preparação")</f>
        <v>Em preparação</v>
      </c>
    </row>
    <row r="26" customFormat="false" ht="15" hidden="false" customHeight="false" outlineLevel="0" collapsed="false">
      <c r="A26" s="11" t="s">
        <v>26</v>
      </c>
      <c r="B26" s="11" t="n">
        <f aca="false">COUNTIF(Checklist!$D$2:$D$62,"*2*")+COUNTIF(Checklist!$D$2:$D$62,"Todos")</f>
        <v>24</v>
      </c>
      <c r="C26" s="11" t="n">
        <f aca="false">COUNTIFS(Checklist!$D$2:$D$62,"*2*",Checklist!$G$2:$G$62,"Concluído")+COUNTIFS(Checklist!$D$2:$D$62,"Todos",Checklist!$G$2:$G$62,"Concluído")</f>
        <v>0</v>
      </c>
      <c r="D26" s="12" t="n">
        <f aca="false">IF(B26=0,0,C26/B26)</f>
        <v>0</v>
      </c>
      <c r="E26" s="11" t="str">
        <f aca="false">IF(COUNTIFS(Checklist!$D$2:$D$62,"*2*",Checklist!$F$2:$F$62,"&lt;&gt;Avançado",Checklist!$G$2:$G$62,"Concluído")+COUNTIFS(Checklist!$D$2:$D$62,"Todos",Checklist!$F$2:$F$62,"&lt;&gt;Avançado",Checklist!$G$2:$G$62,"Concluído")=COUNTIFS(Checklist!$D$2:$D$62,"*2*",Checklist!$F$2:$F$62,"&lt;&gt;Avançado")+COUNTIFS(Checklist!$D$2:$D$62,"Todos",Checklist!$F$2:$F$62,"&lt;&gt;Avançado"),"✔ PODE VENDER","Em preparação")</f>
        <v>Em preparação</v>
      </c>
      <c r="F26" s="11" t="str">
        <f aca="false">IF(C26=B26,"✔ PODE VENDER","Em preparação")</f>
        <v>Em preparação</v>
      </c>
    </row>
    <row r="27" customFormat="false" ht="15" hidden="false" customHeight="false" outlineLevel="0" collapsed="false">
      <c r="A27" s="11" t="s">
        <v>27</v>
      </c>
      <c r="B27" s="11" t="n">
        <f aca="false">COUNTIF(Checklist!$D$2:$D$62,"*3*")+COUNTIF(Checklist!$D$2:$D$62,"Todos")</f>
        <v>35</v>
      </c>
      <c r="C27" s="11" t="n">
        <f aca="false">COUNTIFS(Checklist!$D$2:$D$62,"*3*",Checklist!$G$2:$G$62,"Concluído")+COUNTIFS(Checklist!$D$2:$D$62,"Todos",Checklist!$G$2:$G$62,"Concluído")</f>
        <v>0</v>
      </c>
      <c r="D27" s="12" t="n">
        <f aca="false">IF(B27=0,0,C27/B27)</f>
        <v>0</v>
      </c>
      <c r="E27" s="11" t="str">
        <f aca="false">IF(COUNTIFS(Checklist!$D$2:$D$62,"*3*",Checklist!$F$2:$F$62,"&lt;&gt;Avançado",Checklist!$G$2:$G$62,"Concluído")+COUNTIFS(Checklist!$D$2:$D$62,"Todos",Checklist!$F$2:$F$62,"&lt;&gt;Avançado",Checklist!$G$2:$G$62,"Concluído")=COUNTIFS(Checklist!$D$2:$D$62,"*3*",Checklist!$F$2:$F$62,"&lt;&gt;Avançado")+COUNTIFS(Checklist!$D$2:$D$62,"Todos",Checklist!$F$2:$F$62,"&lt;&gt;Avançado"),"✔ PODE VENDER","Em preparação")</f>
        <v>Em preparação</v>
      </c>
      <c r="F27" s="11" t="str">
        <f aca="false">IF(C27=B27,"✔ PODE VENDER","Em preparação")</f>
        <v>Em preparação</v>
      </c>
    </row>
    <row r="28" customFormat="false" ht="15" hidden="false" customHeight="false" outlineLevel="0" collapsed="false">
      <c r="A28" s="11" t="s">
        <v>28</v>
      </c>
      <c r="B28" s="11" t="n">
        <f aca="false">COUNTIF(Checklist!$D$2:$D$62,"*4*")+COUNTIF(Checklist!$D$2:$D$62,"Todos")</f>
        <v>10</v>
      </c>
      <c r="C28" s="11" t="n">
        <f aca="false">COUNTIFS(Checklist!$D$2:$D$62,"*4*",Checklist!$G$2:$G$62,"Concluído")+COUNTIFS(Checklist!$D$2:$D$62,"Todos",Checklist!$G$2:$G$62,"Concluído")</f>
        <v>0</v>
      </c>
      <c r="D28" s="12" t="n">
        <f aca="false">IF(B28=0,0,C28/B28)</f>
        <v>0</v>
      </c>
      <c r="E28" s="11" t="str">
        <f aca="false">IF(COUNTIFS(Checklist!$D$2:$D$62,"*4*",Checklist!$F$2:$F$62,"&lt;&gt;Avançado",Checklist!$G$2:$G$62,"Concluído")+COUNTIFS(Checklist!$D$2:$D$62,"Todos",Checklist!$F$2:$F$62,"&lt;&gt;Avançado",Checklist!$G$2:$G$62,"Concluído")=COUNTIFS(Checklist!$D$2:$D$62,"*4*",Checklist!$F$2:$F$62,"&lt;&gt;Avançado")+COUNTIFS(Checklist!$D$2:$D$62,"Todos",Checklist!$F$2:$F$62,"&lt;&gt;Avançado"),"✔ PODE VENDER","Em preparação")</f>
        <v>Em preparação</v>
      </c>
      <c r="F28" s="11" t="str">
        <f aca="false">IF(C28=B28,"✔ PODE VENDER","Em preparação")</f>
        <v>Em preparação</v>
      </c>
    </row>
    <row r="29" customFormat="false" ht="15" hidden="false" customHeight="false" outlineLevel="0" collapsed="false">
      <c r="A29" s="11" t="s">
        <v>29</v>
      </c>
      <c r="B29" s="11" t="n">
        <f aca="false">COUNTIF(Checklist!$D$2:$D$62,"*E*")+COUNTIF(Checklist!$D$2:$D$62,"Todos")</f>
        <v>10</v>
      </c>
      <c r="C29" s="11" t="n">
        <f aca="false">COUNTIFS(Checklist!$D$2:$D$62,"*E*",Checklist!$G$2:$G$62,"Concluído")+COUNTIFS(Checklist!$D$2:$D$62,"Todos",Checklist!$G$2:$G$62,"Concluído")</f>
        <v>0</v>
      </c>
      <c r="D29" s="12" t="n">
        <f aca="false">IF(B29=0,0,C29/B29)</f>
        <v>0</v>
      </c>
      <c r="E29" s="11" t="str">
        <f aca="false">IF(COUNTIFS(Checklist!$D$2:$D$62,"*E*",Checklist!$F$2:$F$62,"&lt;&gt;Avançado",Checklist!$G$2:$G$62,"Concluído")+COUNTIFS(Checklist!$D$2:$D$62,"Todos",Checklist!$F$2:$F$62,"&lt;&gt;Avançado",Checklist!$G$2:$G$62,"Concluído")=COUNTIFS(Checklist!$D$2:$D$62,"*E*",Checklist!$F$2:$F$62,"&lt;&gt;Avançado")+COUNTIFS(Checklist!$D$2:$D$62,"Todos",Checklist!$F$2:$F$62,"&lt;&gt;Avançado"),"✔ PODE VENDER","Em preparação")</f>
        <v>Em preparação</v>
      </c>
      <c r="F29" s="11" t="str">
        <f aca="false">IF(C29=B29,"✔ PODE VENDER","Em preparação")</f>
        <v>Em preparação</v>
      </c>
    </row>
  </sheetData>
  <mergeCells count="8">
    <mergeCell ref="A3:B3"/>
    <mergeCell ref="C3:D3"/>
    <mergeCell ref="E3:F3"/>
    <mergeCell ref="G3:H3"/>
    <mergeCell ref="A4:B4"/>
    <mergeCell ref="C4:D4"/>
    <mergeCell ref="E4:F4"/>
    <mergeCell ref="G4:H4"/>
  </mergeCells>
  <conditionalFormatting sqref="D14:D19">
    <cfRule type="dataBar" priority="2">
      <dataBar showValue="1" minLength="10" maxLength="90"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{4B9670AF-E5B8-47D2-88C2-B5D34C84D550}</x14:id>
        </ext>
      </extLst>
    </cfRule>
  </conditionalFormatting>
  <conditionalFormatting sqref="E25:F29">
    <cfRule type="cellIs" priority="3" operator="equal" aboveAverage="0" equalAverage="0" bottom="0" percent="0" rank="0" text="" dxfId="0">
      <formula>"✔ PODE VENDER"</formula>
    </cfRule>
    <cfRule type="cellIs" priority="4" operator="equal" aboveAverage="0" equalAverage="0" bottom="0" percent="0" rank="0" text="" dxfId="1">
      <formula>"Em preparação"</formula>
    </cfRule>
  </conditionalFormatting>
  <conditionalFormatting sqref="D25:D29">
    <cfRule type="dataBar" priority="5">
      <dataBar showValue="1" minLength="10" maxLength="90"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{D5AFAA77-00D0-4A56-AA49-D3B05C6A7D43}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9670AF-E5B8-47D2-88C2-B5D34C84D55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5B6"/>
              <x14:axisColor rgb="FF000000"/>
            </x14:dataBar>
          </x14:cfRule>
          <xm:sqref>D14:D19</xm:sqref>
        </x14:conditionalFormatting>
        <x14:conditionalFormatting xmlns:xm="http://schemas.microsoft.com/office/excel/2006/main">
          <x14:cfRule type="dataBar" id="{D5AFAA77-00D0-4A56-AA49-D3B05C6A7D4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5B6"/>
              <x14:axisColor rgb="FF000000"/>
            </x14:dataBar>
          </x14:cfRule>
          <xm:sqref>D25:D29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4" t="s">
        <v>30</v>
      </c>
    </row>
    <row r="2" customFormat="false" ht="15" hidden="false" customHeight="false" outlineLevel="0" collapsed="false">
      <c r="A2" s="15" t="s">
        <v>31</v>
      </c>
      <c r="B2" s="15"/>
    </row>
    <row r="3" customFormat="false" ht="15" hidden="false" customHeight="false" outlineLevel="0" collapsed="false">
      <c r="A3" s="9"/>
    </row>
    <row r="4" customFormat="false" ht="15" hidden="false" customHeight="false" outlineLevel="0" collapsed="false">
      <c r="A4" s="16" t="s">
        <v>32</v>
      </c>
      <c r="B4" s="17" t="s">
        <v>33</v>
      </c>
    </row>
    <row r="5" customFormat="false" ht="15" hidden="false" customHeight="false" outlineLevel="0" collapsed="false">
      <c r="A5" s="9" t="s">
        <v>34</v>
      </c>
      <c r="B5" s="18" t="s">
        <v>35</v>
      </c>
    </row>
    <row r="6" customFormat="false" ht="26.85" hidden="false" customHeight="false" outlineLevel="0" collapsed="false">
      <c r="A6" s="9" t="s">
        <v>36</v>
      </c>
      <c r="B6" s="18" t="s">
        <v>37</v>
      </c>
    </row>
    <row r="7" customFormat="false" ht="26.85" hidden="false" customHeight="false" outlineLevel="0" collapsed="false">
      <c r="A7" s="9" t="s">
        <v>38</v>
      </c>
      <c r="B7" s="18" t="s">
        <v>39</v>
      </c>
    </row>
    <row r="8" customFormat="false" ht="15" hidden="false" customHeight="false" outlineLevel="0" collapsed="false">
      <c r="A8" s="9" t="s">
        <v>40</v>
      </c>
      <c r="B8" s="18" t="s">
        <v>41</v>
      </c>
    </row>
    <row r="9" customFormat="false" ht="15" hidden="false" customHeight="false" outlineLevel="0" collapsed="false">
      <c r="A9" s="9"/>
    </row>
    <row r="10" customFormat="false" ht="15" hidden="false" customHeight="false" outlineLevel="0" collapsed="false">
      <c r="A10" s="19" t="s">
        <v>42</v>
      </c>
    </row>
    <row r="11" customFormat="false" ht="15" hidden="false" customHeight="false" outlineLevel="0" collapsed="false">
      <c r="A11" s="9" t="s">
        <v>43</v>
      </c>
      <c r="B11" s="20" t="s">
        <v>44</v>
      </c>
    </row>
    <row r="12" customFormat="false" ht="15" hidden="false" customHeight="false" outlineLevel="0" collapsed="false">
      <c r="A12" s="9" t="s">
        <v>45</v>
      </c>
      <c r="B12" s="21" t="s">
        <v>46</v>
      </c>
    </row>
    <row r="13" customFormat="false" ht="15" hidden="false" customHeight="false" outlineLevel="0" collapsed="false">
      <c r="A13" s="9" t="s">
        <v>47</v>
      </c>
      <c r="B13" s="18" t="s">
        <v>48</v>
      </c>
    </row>
    <row r="14" customFormat="false" ht="15" hidden="false" customHeight="false" outlineLevel="0" collapsed="false">
      <c r="A14" s="9" t="s">
        <v>49</v>
      </c>
      <c r="B14" s="18" t="s">
        <v>50</v>
      </c>
    </row>
    <row r="15" customFormat="false" ht="15" hidden="false" customHeight="false" outlineLevel="0" collapsed="false">
      <c r="A15" s="9" t="s">
        <v>51</v>
      </c>
      <c r="B15" s="18" t="s">
        <v>52</v>
      </c>
    </row>
    <row r="16" customFormat="false" ht="15" hidden="false" customHeight="false" outlineLevel="0" collapsed="false">
      <c r="A16" s="19"/>
    </row>
    <row r="17" customFormat="false" ht="26.85" hidden="false" customHeight="false" outlineLevel="0" collapsed="false">
      <c r="A17" s="9" t="s">
        <v>53</v>
      </c>
      <c r="B17" s="18" t="s">
        <v>54</v>
      </c>
    </row>
    <row r="18" customFormat="false" ht="15" hidden="false" customHeight="false" outlineLevel="0" collapsed="false">
      <c r="A18" s="9" t="s">
        <v>55</v>
      </c>
      <c r="B18" s="18" t="s">
        <v>56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5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46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0" t="s">
        <v>57</v>
      </c>
      <c r="B1" s="10" t="s">
        <v>58</v>
      </c>
      <c r="C1" s="10" t="s">
        <v>12</v>
      </c>
      <c r="D1" s="10" t="s">
        <v>51</v>
      </c>
      <c r="E1" s="10" t="s">
        <v>59</v>
      </c>
      <c r="F1" s="10" t="s">
        <v>49</v>
      </c>
      <c r="G1" s="10" t="s">
        <v>47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</row>
    <row r="2" customFormat="false" ht="26.85" hidden="false" customHeight="false" outlineLevel="0" collapsed="false">
      <c r="A2" s="22" t="s">
        <v>66</v>
      </c>
      <c r="B2" s="23" t="n">
        <v>1</v>
      </c>
      <c r="C2" s="22" t="s">
        <v>14</v>
      </c>
      <c r="D2" s="23" t="s">
        <v>67</v>
      </c>
      <c r="E2" s="18" t="s">
        <v>68</v>
      </c>
      <c r="F2" s="22" t="s">
        <v>69</v>
      </c>
      <c r="G2" s="24" t="s">
        <v>7</v>
      </c>
      <c r="H2" s="25"/>
      <c r="I2" s="25"/>
      <c r="J2" s="26" t="n">
        <f aca="false">SUMIFS(Diario!$D:$D,Diario!$B:$B,A2)</f>
        <v>0</v>
      </c>
      <c r="K2" s="18" t="s">
        <v>70</v>
      </c>
      <c r="L2" s="18" t="s">
        <v>71</v>
      </c>
      <c r="M2" s="27"/>
    </row>
    <row r="3" customFormat="false" ht="15" hidden="false" customHeight="false" outlineLevel="0" collapsed="false">
      <c r="A3" s="22" t="s">
        <v>72</v>
      </c>
      <c r="B3" s="23" t="n">
        <v>1</v>
      </c>
      <c r="C3" s="22" t="s">
        <v>14</v>
      </c>
      <c r="D3" s="23" t="s">
        <v>67</v>
      </c>
      <c r="E3" s="18" t="s">
        <v>73</v>
      </c>
      <c r="F3" s="22" t="s">
        <v>69</v>
      </c>
      <c r="G3" s="24" t="s">
        <v>7</v>
      </c>
      <c r="H3" s="25"/>
      <c r="I3" s="25"/>
      <c r="J3" s="26" t="n">
        <f aca="false">SUMIFS(Diario!$D:$D,Diario!$B:$B,A3)</f>
        <v>0</v>
      </c>
      <c r="K3" s="18" t="s">
        <v>74</v>
      </c>
      <c r="L3" s="18" t="s">
        <v>75</v>
      </c>
      <c r="M3" s="27"/>
    </row>
    <row r="4" customFormat="false" ht="26.85" hidden="false" customHeight="false" outlineLevel="0" collapsed="false">
      <c r="A4" s="22" t="s">
        <v>76</v>
      </c>
      <c r="B4" s="23" t="n">
        <v>1</v>
      </c>
      <c r="C4" s="22" t="s">
        <v>14</v>
      </c>
      <c r="D4" s="23" t="s">
        <v>67</v>
      </c>
      <c r="E4" s="18" t="s">
        <v>77</v>
      </c>
      <c r="F4" s="22" t="s">
        <v>69</v>
      </c>
      <c r="G4" s="24" t="s">
        <v>7</v>
      </c>
      <c r="H4" s="25"/>
      <c r="I4" s="25"/>
      <c r="J4" s="26" t="n">
        <f aca="false">SUMIFS(Diario!$D:$D,Diario!$B:$B,A4)</f>
        <v>0</v>
      </c>
      <c r="K4" s="18" t="s">
        <v>74</v>
      </c>
      <c r="L4" s="18" t="s">
        <v>78</v>
      </c>
      <c r="M4" s="27"/>
    </row>
    <row r="5" customFormat="false" ht="26.85" hidden="false" customHeight="false" outlineLevel="0" collapsed="false">
      <c r="A5" s="22" t="s">
        <v>79</v>
      </c>
      <c r="B5" s="23" t="n">
        <v>1</v>
      </c>
      <c r="C5" s="22" t="s">
        <v>14</v>
      </c>
      <c r="D5" s="23" t="s">
        <v>67</v>
      </c>
      <c r="E5" s="18" t="s">
        <v>80</v>
      </c>
      <c r="F5" s="22" t="s">
        <v>69</v>
      </c>
      <c r="G5" s="24" t="s">
        <v>7</v>
      </c>
      <c r="H5" s="25"/>
      <c r="I5" s="25"/>
      <c r="J5" s="26" t="n">
        <f aca="false">SUMIFS(Diario!$D:$D,Diario!$B:$B,A5)</f>
        <v>0</v>
      </c>
      <c r="K5" s="18" t="s">
        <v>74</v>
      </c>
      <c r="L5" s="18" t="s">
        <v>81</v>
      </c>
      <c r="M5" s="27"/>
    </row>
    <row r="6" customFormat="false" ht="26.85" hidden="false" customHeight="false" outlineLevel="0" collapsed="false">
      <c r="A6" s="22" t="s">
        <v>82</v>
      </c>
      <c r="B6" s="23" t="n">
        <v>1</v>
      </c>
      <c r="C6" s="22" t="s">
        <v>14</v>
      </c>
      <c r="D6" s="23" t="s">
        <v>83</v>
      </c>
      <c r="E6" s="18" t="s">
        <v>84</v>
      </c>
      <c r="F6" s="22" t="s">
        <v>69</v>
      </c>
      <c r="G6" s="24" t="s">
        <v>7</v>
      </c>
      <c r="H6" s="25"/>
      <c r="I6" s="25"/>
      <c r="J6" s="26" t="n">
        <f aca="false">SUMIFS(Diario!$D:$D,Diario!$B:$B,A6)</f>
        <v>0</v>
      </c>
      <c r="K6" s="18" t="s">
        <v>85</v>
      </c>
      <c r="L6" s="18" t="s">
        <v>86</v>
      </c>
      <c r="M6" s="27"/>
    </row>
    <row r="7" customFormat="false" ht="15" hidden="false" customHeight="false" outlineLevel="0" collapsed="false">
      <c r="A7" s="22" t="s">
        <v>87</v>
      </c>
      <c r="B7" s="23" t="n">
        <v>1</v>
      </c>
      <c r="C7" s="22" t="s">
        <v>14</v>
      </c>
      <c r="D7" s="23" t="s">
        <v>83</v>
      </c>
      <c r="E7" s="18" t="s">
        <v>88</v>
      </c>
      <c r="F7" s="22" t="s">
        <v>69</v>
      </c>
      <c r="G7" s="24" t="s">
        <v>7</v>
      </c>
      <c r="H7" s="25"/>
      <c r="I7" s="25"/>
      <c r="J7" s="26" t="n">
        <f aca="false">SUMIFS(Diario!$D:$D,Diario!$B:$B,A7)</f>
        <v>0</v>
      </c>
      <c r="K7" s="18" t="s">
        <v>74</v>
      </c>
      <c r="L7" s="18" t="s">
        <v>89</v>
      </c>
      <c r="M7" s="27"/>
    </row>
    <row r="8" customFormat="false" ht="15" hidden="false" customHeight="false" outlineLevel="0" collapsed="false">
      <c r="A8" s="22" t="s">
        <v>90</v>
      </c>
      <c r="B8" s="23" t="n">
        <v>1</v>
      </c>
      <c r="C8" s="22" t="s">
        <v>14</v>
      </c>
      <c r="D8" s="23" t="s">
        <v>91</v>
      </c>
      <c r="E8" s="18" t="s">
        <v>92</v>
      </c>
      <c r="F8" s="22" t="s">
        <v>69</v>
      </c>
      <c r="G8" s="24" t="s">
        <v>7</v>
      </c>
      <c r="H8" s="25"/>
      <c r="I8" s="25"/>
      <c r="J8" s="26" t="n">
        <f aca="false">SUMIFS(Diario!$D:$D,Diario!$B:$B,A8)</f>
        <v>0</v>
      </c>
      <c r="K8" s="18" t="s">
        <v>74</v>
      </c>
      <c r="L8" s="18" t="s">
        <v>93</v>
      </c>
      <c r="M8" s="27"/>
    </row>
    <row r="9" customFormat="false" ht="15" hidden="false" customHeight="false" outlineLevel="0" collapsed="false">
      <c r="A9" s="22" t="s">
        <v>94</v>
      </c>
      <c r="B9" s="23" t="n">
        <v>2</v>
      </c>
      <c r="C9" s="22" t="s">
        <v>14</v>
      </c>
      <c r="D9" s="23" t="s">
        <v>91</v>
      </c>
      <c r="E9" s="18" t="s">
        <v>95</v>
      </c>
      <c r="F9" s="22" t="s">
        <v>96</v>
      </c>
      <c r="G9" s="24" t="s">
        <v>7</v>
      </c>
      <c r="H9" s="25"/>
      <c r="I9" s="25"/>
      <c r="J9" s="26" t="n">
        <f aca="false">SUMIFS(Diario!$D:$D,Diario!$B:$B,A9)</f>
        <v>0</v>
      </c>
      <c r="K9" s="18" t="s">
        <v>74</v>
      </c>
      <c r="L9" s="18" t="s">
        <v>97</v>
      </c>
      <c r="M9" s="27"/>
    </row>
    <row r="10" customFormat="false" ht="15" hidden="false" customHeight="false" outlineLevel="0" collapsed="false">
      <c r="A10" s="22" t="s">
        <v>98</v>
      </c>
      <c r="B10" s="23" t="n">
        <v>2</v>
      </c>
      <c r="C10" s="22" t="s">
        <v>14</v>
      </c>
      <c r="D10" s="23" t="s">
        <v>91</v>
      </c>
      <c r="E10" s="18" t="s">
        <v>99</v>
      </c>
      <c r="F10" s="22" t="s">
        <v>96</v>
      </c>
      <c r="G10" s="24" t="s">
        <v>7</v>
      </c>
      <c r="H10" s="25"/>
      <c r="I10" s="25"/>
      <c r="J10" s="26" t="n">
        <f aca="false">SUMIFS(Diario!$D:$D,Diario!$B:$B,A10)</f>
        <v>0</v>
      </c>
      <c r="K10" s="18" t="s">
        <v>74</v>
      </c>
      <c r="L10" s="18" t="s">
        <v>100</v>
      </c>
      <c r="M10" s="27"/>
    </row>
    <row r="11" customFormat="false" ht="15" hidden="false" customHeight="false" outlineLevel="0" collapsed="false">
      <c r="A11" s="22" t="s">
        <v>101</v>
      </c>
      <c r="B11" s="23" t="n">
        <v>2</v>
      </c>
      <c r="C11" s="22" t="s">
        <v>14</v>
      </c>
      <c r="D11" s="23" t="s">
        <v>83</v>
      </c>
      <c r="E11" s="18" t="s">
        <v>102</v>
      </c>
      <c r="F11" s="22" t="s">
        <v>69</v>
      </c>
      <c r="G11" s="24" t="s">
        <v>7</v>
      </c>
      <c r="H11" s="25"/>
      <c r="I11" s="25"/>
      <c r="J11" s="26" t="n">
        <f aca="false">SUMIFS(Diario!$D:$D,Diario!$B:$B,A11)</f>
        <v>0</v>
      </c>
      <c r="K11" s="18" t="s">
        <v>85</v>
      </c>
      <c r="L11" s="18" t="s">
        <v>103</v>
      </c>
      <c r="M11" s="27"/>
    </row>
    <row r="12" customFormat="false" ht="15" hidden="false" customHeight="false" outlineLevel="0" collapsed="false">
      <c r="A12" s="22" t="s">
        <v>104</v>
      </c>
      <c r="B12" s="23" t="n">
        <v>2</v>
      </c>
      <c r="C12" s="22" t="s">
        <v>14</v>
      </c>
      <c r="D12" s="23" t="s">
        <v>91</v>
      </c>
      <c r="E12" s="18" t="s">
        <v>105</v>
      </c>
      <c r="F12" s="22" t="s">
        <v>96</v>
      </c>
      <c r="G12" s="24" t="s">
        <v>7</v>
      </c>
      <c r="H12" s="25"/>
      <c r="I12" s="25"/>
      <c r="J12" s="26" t="n">
        <f aca="false">SUMIFS(Diario!$D:$D,Diario!$B:$B,A12)</f>
        <v>0</v>
      </c>
      <c r="K12" s="18" t="s">
        <v>106</v>
      </c>
      <c r="L12" s="18" t="s">
        <v>107</v>
      </c>
      <c r="M12" s="27"/>
    </row>
    <row r="13" customFormat="false" ht="15" hidden="false" customHeight="false" outlineLevel="0" collapsed="false">
      <c r="A13" s="22" t="s">
        <v>108</v>
      </c>
      <c r="B13" s="23" t="n">
        <v>2</v>
      </c>
      <c r="C13" s="22" t="s">
        <v>14</v>
      </c>
      <c r="D13" s="23" t="s">
        <v>91</v>
      </c>
      <c r="E13" s="18" t="s">
        <v>109</v>
      </c>
      <c r="F13" s="22" t="s">
        <v>69</v>
      </c>
      <c r="G13" s="24" t="s">
        <v>7</v>
      </c>
      <c r="H13" s="25"/>
      <c r="I13" s="25"/>
      <c r="J13" s="26" t="n">
        <f aca="false">SUMIFS(Diario!$D:$D,Diario!$B:$B,A13)</f>
        <v>0</v>
      </c>
      <c r="K13" s="18" t="s">
        <v>74</v>
      </c>
      <c r="L13" s="18" t="s">
        <v>110</v>
      </c>
      <c r="M13" s="27"/>
    </row>
    <row r="14" customFormat="false" ht="15" hidden="false" customHeight="false" outlineLevel="0" collapsed="false">
      <c r="A14" s="22" t="s">
        <v>111</v>
      </c>
      <c r="B14" s="23" t="n">
        <v>2</v>
      </c>
      <c r="C14" s="22" t="s">
        <v>14</v>
      </c>
      <c r="D14" s="23" t="s">
        <v>91</v>
      </c>
      <c r="E14" s="18" t="s">
        <v>112</v>
      </c>
      <c r="F14" s="22" t="s">
        <v>69</v>
      </c>
      <c r="G14" s="24" t="s">
        <v>7</v>
      </c>
      <c r="H14" s="25"/>
      <c r="I14" s="25"/>
      <c r="J14" s="26" t="n">
        <f aca="false">SUMIFS(Diario!$D:$D,Diario!$B:$B,A14)</f>
        <v>0</v>
      </c>
      <c r="K14" s="18" t="s">
        <v>85</v>
      </c>
      <c r="L14" s="18" t="s">
        <v>113</v>
      </c>
      <c r="M14" s="27"/>
    </row>
    <row r="15" customFormat="false" ht="26.85" hidden="false" customHeight="false" outlineLevel="0" collapsed="false">
      <c r="A15" s="22" t="s">
        <v>114</v>
      </c>
      <c r="B15" s="23" t="n">
        <v>2</v>
      </c>
      <c r="C15" s="22" t="s">
        <v>14</v>
      </c>
      <c r="D15" s="23" t="s">
        <v>91</v>
      </c>
      <c r="E15" s="18" t="s">
        <v>115</v>
      </c>
      <c r="F15" s="22" t="s">
        <v>96</v>
      </c>
      <c r="G15" s="24" t="s">
        <v>7</v>
      </c>
      <c r="H15" s="25"/>
      <c r="I15" s="25"/>
      <c r="J15" s="26" t="n">
        <f aca="false">SUMIFS(Diario!$D:$D,Diario!$B:$B,A15)</f>
        <v>0</v>
      </c>
      <c r="K15" s="18" t="s">
        <v>85</v>
      </c>
      <c r="L15" s="18" t="s">
        <v>116</v>
      </c>
      <c r="M15" s="27"/>
    </row>
    <row r="16" customFormat="false" ht="15" hidden="false" customHeight="false" outlineLevel="0" collapsed="false">
      <c r="A16" s="22" t="s">
        <v>117</v>
      </c>
      <c r="B16" s="23" t="n">
        <v>3</v>
      </c>
      <c r="C16" s="22" t="s">
        <v>14</v>
      </c>
      <c r="D16" s="23" t="s">
        <v>67</v>
      </c>
      <c r="E16" s="18" t="s">
        <v>118</v>
      </c>
      <c r="F16" s="22" t="s">
        <v>96</v>
      </c>
      <c r="G16" s="24" t="s">
        <v>7</v>
      </c>
      <c r="H16" s="25"/>
      <c r="I16" s="25"/>
      <c r="J16" s="26" t="n">
        <f aca="false">SUMIFS(Diario!$D:$D,Diario!$B:$B,A16)</f>
        <v>0</v>
      </c>
      <c r="K16" s="18" t="s">
        <v>119</v>
      </c>
      <c r="L16" s="18" t="s">
        <v>120</v>
      </c>
      <c r="M16" s="27"/>
    </row>
    <row r="17" customFormat="false" ht="15" hidden="false" customHeight="false" outlineLevel="0" collapsed="false">
      <c r="A17" s="22" t="s">
        <v>121</v>
      </c>
      <c r="B17" s="23" t="n">
        <v>3</v>
      </c>
      <c r="C17" s="22" t="s">
        <v>15</v>
      </c>
      <c r="D17" s="23" t="s">
        <v>122</v>
      </c>
      <c r="E17" s="18" t="s">
        <v>123</v>
      </c>
      <c r="F17" s="22" t="s">
        <v>69</v>
      </c>
      <c r="G17" s="24" t="s">
        <v>7</v>
      </c>
      <c r="H17" s="25"/>
      <c r="I17" s="25"/>
      <c r="J17" s="26" t="n">
        <f aca="false">SUMIFS(Diario!$D:$D,Diario!$B:$B,A17)</f>
        <v>0</v>
      </c>
      <c r="K17" s="18" t="s">
        <v>124</v>
      </c>
      <c r="L17" s="18" t="s">
        <v>125</v>
      </c>
      <c r="M17" s="27"/>
    </row>
    <row r="18" customFormat="false" ht="15" hidden="false" customHeight="false" outlineLevel="0" collapsed="false">
      <c r="A18" s="22" t="s">
        <v>126</v>
      </c>
      <c r="B18" s="23" t="n">
        <v>3</v>
      </c>
      <c r="C18" s="22" t="s">
        <v>15</v>
      </c>
      <c r="D18" s="23" t="s">
        <v>122</v>
      </c>
      <c r="E18" s="18" t="s">
        <v>127</v>
      </c>
      <c r="F18" s="22" t="s">
        <v>69</v>
      </c>
      <c r="G18" s="24" t="s">
        <v>7</v>
      </c>
      <c r="H18" s="25"/>
      <c r="I18" s="25"/>
      <c r="J18" s="26" t="n">
        <f aca="false">SUMIFS(Diario!$D:$D,Diario!$B:$B,A18)</f>
        <v>0</v>
      </c>
      <c r="K18" s="18" t="s">
        <v>124</v>
      </c>
      <c r="L18" s="18" t="s">
        <v>128</v>
      </c>
      <c r="M18" s="27"/>
    </row>
    <row r="19" customFormat="false" ht="26.85" hidden="false" customHeight="false" outlineLevel="0" collapsed="false">
      <c r="A19" s="22" t="s">
        <v>129</v>
      </c>
      <c r="B19" s="23" t="n">
        <v>3</v>
      </c>
      <c r="C19" s="22" t="s">
        <v>15</v>
      </c>
      <c r="D19" s="23" t="s">
        <v>122</v>
      </c>
      <c r="E19" s="18" t="s">
        <v>130</v>
      </c>
      <c r="F19" s="22" t="s">
        <v>69</v>
      </c>
      <c r="G19" s="24" t="s">
        <v>7</v>
      </c>
      <c r="H19" s="25"/>
      <c r="I19" s="25"/>
      <c r="J19" s="26" t="n">
        <f aca="false">SUMIFS(Diario!$D:$D,Diario!$B:$B,A19)</f>
        <v>0</v>
      </c>
      <c r="K19" s="18" t="s">
        <v>106</v>
      </c>
      <c r="L19" s="18" t="s">
        <v>131</v>
      </c>
      <c r="M19" s="27"/>
    </row>
    <row r="20" customFormat="false" ht="26.85" hidden="false" customHeight="false" outlineLevel="0" collapsed="false">
      <c r="A20" s="22" t="s">
        <v>132</v>
      </c>
      <c r="B20" s="23" t="n">
        <v>3</v>
      </c>
      <c r="C20" s="22" t="s">
        <v>15</v>
      </c>
      <c r="D20" s="23" t="s">
        <v>122</v>
      </c>
      <c r="E20" s="18" t="s">
        <v>133</v>
      </c>
      <c r="F20" s="22" t="s">
        <v>96</v>
      </c>
      <c r="G20" s="24" t="s">
        <v>7</v>
      </c>
      <c r="H20" s="25"/>
      <c r="I20" s="25"/>
      <c r="J20" s="26" t="n">
        <f aca="false">SUMIFS(Diario!$D:$D,Diario!$B:$B,A20)</f>
        <v>0</v>
      </c>
      <c r="K20" s="18" t="s">
        <v>134</v>
      </c>
      <c r="L20" s="18" t="s">
        <v>135</v>
      </c>
      <c r="M20" s="27"/>
    </row>
    <row r="21" customFormat="false" ht="15" hidden="false" customHeight="false" outlineLevel="0" collapsed="false">
      <c r="A21" s="22" t="s">
        <v>136</v>
      </c>
      <c r="B21" s="23" t="n">
        <v>3</v>
      </c>
      <c r="C21" s="22" t="s">
        <v>15</v>
      </c>
      <c r="D21" s="23" t="s">
        <v>137</v>
      </c>
      <c r="E21" s="18" t="s">
        <v>138</v>
      </c>
      <c r="F21" s="22" t="s">
        <v>96</v>
      </c>
      <c r="G21" s="24" t="s">
        <v>7</v>
      </c>
      <c r="H21" s="25"/>
      <c r="I21" s="25"/>
      <c r="J21" s="26" t="n">
        <f aca="false">SUMIFS(Diario!$D:$D,Diario!$B:$B,A21)</f>
        <v>0</v>
      </c>
      <c r="K21" s="18" t="s">
        <v>134</v>
      </c>
      <c r="L21" s="18" t="s">
        <v>139</v>
      </c>
      <c r="M21" s="27"/>
    </row>
    <row r="22" customFormat="false" ht="15" hidden="false" customHeight="false" outlineLevel="0" collapsed="false">
      <c r="A22" s="22" t="s">
        <v>140</v>
      </c>
      <c r="B22" s="23" t="n">
        <v>3</v>
      </c>
      <c r="C22" s="22" t="s">
        <v>15</v>
      </c>
      <c r="D22" s="23" t="s">
        <v>137</v>
      </c>
      <c r="E22" s="18" t="s">
        <v>141</v>
      </c>
      <c r="F22" s="22" t="s">
        <v>96</v>
      </c>
      <c r="G22" s="24" t="s">
        <v>7</v>
      </c>
      <c r="H22" s="25"/>
      <c r="I22" s="25"/>
      <c r="J22" s="26" t="n">
        <f aca="false">SUMIFS(Diario!$D:$D,Diario!$B:$B,A22)</f>
        <v>0</v>
      </c>
      <c r="K22" s="18" t="s">
        <v>106</v>
      </c>
      <c r="L22" s="18" t="s">
        <v>142</v>
      </c>
      <c r="M22" s="27"/>
    </row>
    <row r="23" customFormat="false" ht="26.85" hidden="false" customHeight="false" outlineLevel="0" collapsed="false">
      <c r="A23" s="22" t="s">
        <v>143</v>
      </c>
      <c r="B23" s="23" t="n">
        <v>3</v>
      </c>
      <c r="C23" s="22" t="s">
        <v>15</v>
      </c>
      <c r="D23" s="23" t="s">
        <v>144</v>
      </c>
      <c r="E23" s="18" t="s">
        <v>145</v>
      </c>
      <c r="F23" s="22" t="s">
        <v>96</v>
      </c>
      <c r="G23" s="24" t="s">
        <v>7</v>
      </c>
      <c r="H23" s="25"/>
      <c r="I23" s="25"/>
      <c r="J23" s="26" t="n">
        <f aca="false">SUMIFS(Diario!$D:$D,Diario!$B:$B,A23)</f>
        <v>0</v>
      </c>
      <c r="K23" s="18" t="s">
        <v>124</v>
      </c>
      <c r="L23" s="18" t="s">
        <v>146</v>
      </c>
      <c r="M23" s="27"/>
    </row>
    <row r="24" customFormat="false" ht="15" hidden="false" customHeight="false" outlineLevel="0" collapsed="false">
      <c r="A24" s="22" t="s">
        <v>147</v>
      </c>
      <c r="B24" s="23" t="n">
        <v>3</v>
      </c>
      <c r="C24" s="22" t="s">
        <v>15</v>
      </c>
      <c r="D24" s="23" t="s">
        <v>137</v>
      </c>
      <c r="E24" s="18" t="s">
        <v>148</v>
      </c>
      <c r="F24" s="22" t="s">
        <v>149</v>
      </c>
      <c r="G24" s="24" t="s">
        <v>7</v>
      </c>
      <c r="H24" s="25"/>
      <c r="I24" s="25"/>
      <c r="J24" s="26" t="n">
        <f aca="false">SUMIFS(Diario!$D:$D,Diario!$B:$B,A24)</f>
        <v>0</v>
      </c>
      <c r="K24" s="18" t="s">
        <v>85</v>
      </c>
      <c r="L24" s="18" t="s">
        <v>150</v>
      </c>
      <c r="M24" s="27"/>
    </row>
    <row r="25" customFormat="false" ht="26.85" hidden="false" customHeight="false" outlineLevel="0" collapsed="false">
      <c r="A25" s="22" t="s">
        <v>151</v>
      </c>
      <c r="B25" s="23" t="n">
        <v>4</v>
      </c>
      <c r="C25" s="22" t="s">
        <v>14</v>
      </c>
      <c r="D25" s="23" t="s">
        <v>91</v>
      </c>
      <c r="E25" s="18" t="s">
        <v>152</v>
      </c>
      <c r="F25" s="22" t="s">
        <v>96</v>
      </c>
      <c r="G25" s="24" t="s">
        <v>7</v>
      </c>
      <c r="H25" s="25"/>
      <c r="I25" s="25"/>
      <c r="J25" s="26" t="n">
        <f aca="false">SUMIFS(Diario!$D:$D,Diario!$B:$B,A25)</f>
        <v>0</v>
      </c>
      <c r="K25" s="18" t="s">
        <v>106</v>
      </c>
      <c r="L25" s="18" t="s">
        <v>153</v>
      </c>
      <c r="M25" s="27"/>
    </row>
    <row r="26" customFormat="false" ht="15" hidden="false" customHeight="false" outlineLevel="0" collapsed="false">
      <c r="A26" s="22" t="s">
        <v>154</v>
      </c>
      <c r="B26" s="23" t="n">
        <v>4</v>
      </c>
      <c r="C26" s="22" t="s">
        <v>19</v>
      </c>
      <c r="D26" s="23" t="s">
        <v>91</v>
      </c>
      <c r="E26" s="18" t="s">
        <v>155</v>
      </c>
      <c r="F26" s="22" t="s">
        <v>69</v>
      </c>
      <c r="G26" s="24" t="s">
        <v>7</v>
      </c>
      <c r="H26" s="25"/>
      <c r="I26" s="25"/>
      <c r="J26" s="26" t="n">
        <f aca="false">SUMIFS(Diario!$D:$D,Diario!$B:$B,A26)</f>
        <v>0</v>
      </c>
      <c r="K26" s="18" t="s">
        <v>156</v>
      </c>
      <c r="L26" s="18" t="s">
        <v>157</v>
      </c>
      <c r="M26" s="27"/>
    </row>
    <row r="27" customFormat="false" ht="15" hidden="false" customHeight="false" outlineLevel="0" collapsed="false">
      <c r="A27" s="22" t="s">
        <v>158</v>
      </c>
      <c r="B27" s="23" t="n">
        <v>4</v>
      </c>
      <c r="C27" s="22" t="s">
        <v>19</v>
      </c>
      <c r="D27" s="23" t="s">
        <v>91</v>
      </c>
      <c r="E27" s="18" t="s">
        <v>159</v>
      </c>
      <c r="F27" s="22" t="s">
        <v>96</v>
      </c>
      <c r="G27" s="24" t="s">
        <v>7</v>
      </c>
      <c r="H27" s="25"/>
      <c r="I27" s="25"/>
      <c r="J27" s="26" t="n">
        <f aca="false">SUMIFS(Diario!$D:$D,Diario!$B:$B,A27)</f>
        <v>0</v>
      </c>
      <c r="K27" s="18" t="s">
        <v>74</v>
      </c>
      <c r="L27" s="18" t="s">
        <v>160</v>
      </c>
      <c r="M27" s="27"/>
    </row>
    <row r="28" customFormat="false" ht="15" hidden="false" customHeight="false" outlineLevel="0" collapsed="false">
      <c r="A28" s="22" t="s">
        <v>161</v>
      </c>
      <c r="B28" s="23" t="n">
        <v>4</v>
      </c>
      <c r="C28" s="22" t="s">
        <v>19</v>
      </c>
      <c r="D28" s="23" t="s">
        <v>91</v>
      </c>
      <c r="E28" s="18" t="s">
        <v>162</v>
      </c>
      <c r="F28" s="22" t="s">
        <v>96</v>
      </c>
      <c r="G28" s="24" t="s">
        <v>7</v>
      </c>
      <c r="H28" s="25"/>
      <c r="I28" s="25"/>
      <c r="J28" s="26" t="n">
        <f aca="false">SUMIFS(Diario!$D:$D,Diario!$B:$B,A28)</f>
        <v>0</v>
      </c>
      <c r="K28" s="18" t="s">
        <v>163</v>
      </c>
      <c r="L28" s="18" t="s">
        <v>164</v>
      </c>
      <c r="M28" s="27"/>
    </row>
    <row r="29" customFormat="false" ht="15" hidden="false" customHeight="false" outlineLevel="0" collapsed="false">
      <c r="A29" s="22" t="s">
        <v>165</v>
      </c>
      <c r="B29" s="23" t="n">
        <v>4</v>
      </c>
      <c r="C29" s="22" t="s">
        <v>19</v>
      </c>
      <c r="D29" s="23" t="s">
        <v>166</v>
      </c>
      <c r="E29" s="18" t="s">
        <v>167</v>
      </c>
      <c r="F29" s="22" t="s">
        <v>69</v>
      </c>
      <c r="G29" s="24" t="s">
        <v>7</v>
      </c>
      <c r="H29" s="25"/>
      <c r="I29" s="25"/>
      <c r="J29" s="26" t="n">
        <f aca="false">SUMIFS(Diario!$D:$D,Diario!$B:$B,A29)</f>
        <v>0</v>
      </c>
      <c r="K29" s="18" t="s">
        <v>119</v>
      </c>
      <c r="L29" s="18" t="s">
        <v>168</v>
      </c>
      <c r="M29" s="27"/>
    </row>
    <row r="30" customFormat="false" ht="15" hidden="false" customHeight="false" outlineLevel="0" collapsed="false">
      <c r="A30" s="22" t="s">
        <v>169</v>
      </c>
      <c r="B30" s="23" t="n">
        <v>4</v>
      </c>
      <c r="C30" s="22" t="s">
        <v>19</v>
      </c>
      <c r="D30" s="23" t="s">
        <v>166</v>
      </c>
      <c r="E30" s="18" t="s">
        <v>170</v>
      </c>
      <c r="F30" s="22" t="s">
        <v>69</v>
      </c>
      <c r="G30" s="24" t="s">
        <v>7</v>
      </c>
      <c r="H30" s="25"/>
      <c r="I30" s="25"/>
      <c r="J30" s="26" t="n">
        <f aca="false">SUMIFS(Diario!$D:$D,Diario!$B:$B,A30)</f>
        <v>0</v>
      </c>
      <c r="K30" s="18" t="s">
        <v>171</v>
      </c>
      <c r="L30" s="18" t="s">
        <v>172</v>
      </c>
      <c r="M30" s="27"/>
    </row>
    <row r="31" customFormat="false" ht="26.85" hidden="false" customHeight="false" outlineLevel="0" collapsed="false">
      <c r="A31" s="22" t="s">
        <v>173</v>
      </c>
      <c r="B31" s="23" t="n">
        <v>4</v>
      </c>
      <c r="C31" s="22" t="s">
        <v>17</v>
      </c>
      <c r="D31" s="23" t="s">
        <v>174</v>
      </c>
      <c r="E31" s="18" t="s">
        <v>175</v>
      </c>
      <c r="F31" s="22" t="s">
        <v>96</v>
      </c>
      <c r="G31" s="24" t="s">
        <v>7</v>
      </c>
      <c r="H31" s="25"/>
      <c r="I31" s="25"/>
      <c r="J31" s="26" t="n">
        <f aca="false">SUMIFS(Diario!$D:$D,Diario!$B:$B,A31)</f>
        <v>0</v>
      </c>
      <c r="K31" s="18" t="s">
        <v>176</v>
      </c>
      <c r="L31" s="18" t="s">
        <v>177</v>
      </c>
      <c r="M31" s="27"/>
    </row>
    <row r="32" customFormat="false" ht="26.85" hidden="false" customHeight="false" outlineLevel="0" collapsed="false">
      <c r="A32" s="22" t="s">
        <v>178</v>
      </c>
      <c r="B32" s="23" t="n">
        <v>4</v>
      </c>
      <c r="C32" s="22" t="s">
        <v>18</v>
      </c>
      <c r="D32" s="23" t="s">
        <v>179</v>
      </c>
      <c r="E32" s="18" t="s">
        <v>180</v>
      </c>
      <c r="F32" s="22" t="s">
        <v>96</v>
      </c>
      <c r="G32" s="24" t="s">
        <v>7</v>
      </c>
      <c r="H32" s="25"/>
      <c r="I32" s="25"/>
      <c r="J32" s="26" t="n">
        <f aca="false">SUMIFS(Diario!$D:$D,Diario!$B:$B,A32)</f>
        <v>0</v>
      </c>
      <c r="K32" s="18" t="s">
        <v>181</v>
      </c>
      <c r="L32" s="18" t="s">
        <v>182</v>
      </c>
      <c r="M32" s="27"/>
    </row>
    <row r="33" customFormat="false" ht="15" hidden="false" customHeight="false" outlineLevel="0" collapsed="false">
      <c r="A33" s="22" t="s">
        <v>183</v>
      </c>
      <c r="B33" s="23" t="n">
        <v>5</v>
      </c>
      <c r="C33" s="22" t="s">
        <v>17</v>
      </c>
      <c r="D33" s="23" t="s">
        <v>184</v>
      </c>
      <c r="E33" s="18" t="s">
        <v>185</v>
      </c>
      <c r="F33" s="22" t="s">
        <v>69</v>
      </c>
      <c r="G33" s="24" t="s">
        <v>7</v>
      </c>
      <c r="H33" s="25"/>
      <c r="I33" s="25"/>
      <c r="J33" s="26" t="n">
        <f aca="false">SUMIFS(Diario!$D:$D,Diario!$B:$B,A33)</f>
        <v>0</v>
      </c>
      <c r="K33" s="18" t="s">
        <v>85</v>
      </c>
      <c r="L33" s="18" t="s">
        <v>186</v>
      </c>
      <c r="M33" s="27"/>
    </row>
    <row r="34" customFormat="false" ht="15" hidden="false" customHeight="false" outlineLevel="0" collapsed="false">
      <c r="A34" s="22" t="s">
        <v>187</v>
      </c>
      <c r="B34" s="23" t="n">
        <v>5</v>
      </c>
      <c r="C34" s="22" t="s">
        <v>16</v>
      </c>
      <c r="D34" s="23" t="s">
        <v>184</v>
      </c>
      <c r="E34" s="18" t="s">
        <v>188</v>
      </c>
      <c r="F34" s="22" t="s">
        <v>69</v>
      </c>
      <c r="G34" s="24" t="s">
        <v>7</v>
      </c>
      <c r="H34" s="25"/>
      <c r="I34" s="25"/>
      <c r="J34" s="26" t="n">
        <f aca="false">SUMIFS(Diario!$D:$D,Diario!$B:$B,A34)</f>
        <v>0</v>
      </c>
      <c r="K34" s="18" t="s">
        <v>124</v>
      </c>
      <c r="L34" s="18" t="s">
        <v>189</v>
      </c>
      <c r="M34" s="27"/>
    </row>
    <row r="35" customFormat="false" ht="15" hidden="false" customHeight="false" outlineLevel="0" collapsed="false">
      <c r="A35" s="22" t="s">
        <v>190</v>
      </c>
      <c r="B35" s="23" t="n">
        <v>5</v>
      </c>
      <c r="C35" s="22" t="s">
        <v>16</v>
      </c>
      <c r="D35" s="23" t="s">
        <v>184</v>
      </c>
      <c r="E35" s="18" t="s">
        <v>191</v>
      </c>
      <c r="F35" s="22" t="s">
        <v>149</v>
      </c>
      <c r="G35" s="24" t="s">
        <v>7</v>
      </c>
      <c r="H35" s="25"/>
      <c r="I35" s="25"/>
      <c r="J35" s="26" t="n">
        <f aca="false">SUMIFS(Diario!$D:$D,Diario!$B:$B,A35)</f>
        <v>0</v>
      </c>
      <c r="K35" s="18" t="s">
        <v>124</v>
      </c>
      <c r="L35" s="18" t="s">
        <v>192</v>
      </c>
      <c r="M35" s="27"/>
    </row>
    <row r="36" customFormat="false" ht="15" hidden="false" customHeight="false" outlineLevel="0" collapsed="false">
      <c r="A36" s="22" t="s">
        <v>193</v>
      </c>
      <c r="B36" s="23" t="n">
        <v>5</v>
      </c>
      <c r="C36" s="22" t="s">
        <v>16</v>
      </c>
      <c r="D36" s="23" t="s">
        <v>184</v>
      </c>
      <c r="E36" s="18" t="s">
        <v>194</v>
      </c>
      <c r="F36" s="22" t="s">
        <v>149</v>
      </c>
      <c r="G36" s="24" t="s">
        <v>7</v>
      </c>
      <c r="H36" s="25"/>
      <c r="I36" s="25"/>
      <c r="J36" s="26" t="n">
        <f aca="false">SUMIFS(Diario!$D:$D,Diario!$B:$B,A36)</f>
        <v>0</v>
      </c>
      <c r="K36" s="18" t="s">
        <v>134</v>
      </c>
      <c r="L36" s="18" t="s">
        <v>195</v>
      </c>
      <c r="M36" s="27"/>
    </row>
    <row r="37" customFormat="false" ht="15" hidden="false" customHeight="false" outlineLevel="0" collapsed="false">
      <c r="A37" s="22" t="s">
        <v>196</v>
      </c>
      <c r="B37" s="23" t="n">
        <v>5</v>
      </c>
      <c r="C37" s="22" t="s">
        <v>16</v>
      </c>
      <c r="D37" s="23" t="s">
        <v>184</v>
      </c>
      <c r="E37" s="18" t="s">
        <v>197</v>
      </c>
      <c r="F37" s="22" t="s">
        <v>96</v>
      </c>
      <c r="G37" s="24" t="s">
        <v>7</v>
      </c>
      <c r="H37" s="25"/>
      <c r="I37" s="25"/>
      <c r="J37" s="26" t="n">
        <f aca="false">SUMIFS(Diario!$D:$D,Diario!$B:$B,A37)</f>
        <v>0</v>
      </c>
      <c r="K37" s="18" t="s">
        <v>134</v>
      </c>
      <c r="L37" s="18" t="s">
        <v>198</v>
      </c>
      <c r="M37" s="27"/>
    </row>
    <row r="38" customFormat="false" ht="15" hidden="false" customHeight="false" outlineLevel="0" collapsed="false">
      <c r="A38" s="22" t="s">
        <v>199</v>
      </c>
      <c r="B38" s="23" t="n">
        <v>5</v>
      </c>
      <c r="C38" s="22" t="s">
        <v>16</v>
      </c>
      <c r="D38" s="23" t="s">
        <v>184</v>
      </c>
      <c r="E38" s="18" t="s">
        <v>200</v>
      </c>
      <c r="F38" s="22" t="s">
        <v>69</v>
      </c>
      <c r="G38" s="24" t="s">
        <v>7</v>
      </c>
      <c r="H38" s="25"/>
      <c r="I38" s="25"/>
      <c r="J38" s="26" t="n">
        <f aca="false">SUMIFS(Diario!$D:$D,Diario!$B:$B,A38)</f>
        <v>0</v>
      </c>
      <c r="K38" s="18" t="s">
        <v>124</v>
      </c>
      <c r="L38" s="18" t="s">
        <v>201</v>
      </c>
      <c r="M38" s="27"/>
    </row>
    <row r="39" customFormat="false" ht="26.85" hidden="false" customHeight="false" outlineLevel="0" collapsed="false">
      <c r="A39" s="22" t="s">
        <v>202</v>
      </c>
      <c r="B39" s="23" t="n">
        <v>5</v>
      </c>
      <c r="C39" s="22" t="s">
        <v>16</v>
      </c>
      <c r="D39" s="23" t="s">
        <v>184</v>
      </c>
      <c r="E39" s="18" t="s">
        <v>203</v>
      </c>
      <c r="F39" s="22" t="s">
        <v>69</v>
      </c>
      <c r="G39" s="24" t="s">
        <v>7</v>
      </c>
      <c r="H39" s="25"/>
      <c r="I39" s="25"/>
      <c r="J39" s="26" t="n">
        <f aca="false">SUMIFS(Diario!$D:$D,Diario!$B:$B,A39)</f>
        <v>0</v>
      </c>
      <c r="K39" s="18" t="s">
        <v>106</v>
      </c>
      <c r="L39" s="18" t="s">
        <v>204</v>
      </c>
      <c r="M39" s="27"/>
    </row>
    <row r="40" customFormat="false" ht="15" hidden="false" customHeight="false" outlineLevel="0" collapsed="false">
      <c r="A40" s="22" t="s">
        <v>205</v>
      </c>
      <c r="B40" s="23" t="n">
        <v>6</v>
      </c>
      <c r="C40" s="22" t="s">
        <v>17</v>
      </c>
      <c r="D40" s="23" t="s">
        <v>206</v>
      </c>
      <c r="E40" s="18" t="s">
        <v>207</v>
      </c>
      <c r="F40" s="22" t="s">
        <v>96</v>
      </c>
      <c r="G40" s="24" t="s">
        <v>7</v>
      </c>
      <c r="H40" s="25"/>
      <c r="I40" s="25"/>
      <c r="J40" s="26" t="n">
        <f aca="false">SUMIFS(Diario!$D:$D,Diario!$B:$B,A40)</f>
        <v>0</v>
      </c>
      <c r="K40" s="18" t="s">
        <v>208</v>
      </c>
      <c r="L40" s="18" t="s">
        <v>209</v>
      </c>
      <c r="M40" s="27"/>
    </row>
    <row r="41" customFormat="false" ht="26.85" hidden="false" customHeight="false" outlineLevel="0" collapsed="false">
      <c r="A41" s="22" t="s">
        <v>210</v>
      </c>
      <c r="B41" s="23" t="n">
        <v>6</v>
      </c>
      <c r="C41" s="22" t="s">
        <v>16</v>
      </c>
      <c r="D41" s="23" t="s">
        <v>184</v>
      </c>
      <c r="E41" s="18" t="s">
        <v>211</v>
      </c>
      <c r="F41" s="22" t="s">
        <v>96</v>
      </c>
      <c r="G41" s="24" t="s">
        <v>7</v>
      </c>
      <c r="H41" s="25"/>
      <c r="I41" s="25"/>
      <c r="J41" s="26" t="n">
        <f aca="false">SUMIFS(Diario!$D:$D,Diario!$B:$B,A41)</f>
        <v>0</v>
      </c>
      <c r="K41" s="18" t="s">
        <v>124</v>
      </c>
      <c r="L41" s="18" t="s">
        <v>212</v>
      </c>
      <c r="M41" s="27"/>
    </row>
    <row r="42" customFormat="false" ht="26.85" hidden="false" customHeight="false" outlineLevel="0" collapsed="false">
      <c r="A42" s="22" t="s">
        <v>213</v>
      </c>
      <c r="B42" s="23" t="n">
        <v>6</v>
      </c>
      <c r="C42" s="22" t="s">
        <v>16</v>
      </c>
      <c r="D42" s="23" t="s">
        <v>184</v>
      </c>
      <c r="E42" s="18" t="s">
        <v>214</v>
      </c>
      <c r="F42" s="22" t="s">
        <v>149</v>
      </c>
      <c r="G42" s="24" t="s">
        <v>7</v>
      </c>
      <c r="H42" s="25"/>
      <c r="I42" s="25"/>
      <c r="J42" s="26" t="n">
        <f aca="false">SUMIFS(Diario!$D:$D,Diario!$B:$B,A42)</f>
        <v>0</v>
      </c>
      <c r="K42" s="18" t="s">
        <v>215</v>
      </c>
      <c r="L42" s="18" t="s">
        <v>216</v>
      </c>
      <c r="M42" s="27"/>
    </row>
    <row r="43" customFormat="false" ht="26.85" hidden="false" customHeight="false" outlineLevel="0" collapsed="false">
      <c r="A43" s="22" t="s">
        <v>217</v>
      </c>
      <c r="B43" s="23" t="n">
        <v>6</v>
      </c>
      <c r="C43" s="22" t="s">
        <v>16</v>
      </c>
      <c r="D43" s="23" t="s">
        <v>184</v>
      </c>
      <c r="E43" s="18" t="s">
        <v>218</v>
      </c>
      <c r="F43" s="22" t="s">
        <v>149</v>
      </c>
      <c r="G43" s="24" t="s">
        <v>7</v>
      </c>
      <c r="H43" s="25"/>
      <c r="I43" s="25"/>
      <c r="J43" s="26" t="n">
        <f aca="false">SUMIFS(Diario!$D:$D,Diario!$B:$B,A43)</f>
        <v>0</v>
      </c>
      <c r="K43" s="18" t="s">
        <v>219</v>
      </c>
      <c r="L43" s="18" t="s">
        <v>220</v>
      </c>
      <c r="M43" s="27"/>
    </row>
    <row r="44" customFormat="false" ht="15" hidden="false" customHeight="false" outlineLevel="0" collapsed="false">
      <c r="A44" s="22" t="s">
        <v>221</v>
      </c>
      <c r="B44" s="23" t="n">
        <v>6</v>
      </c>
      <c r="C44" s="22" t="s">
        <v>16</v>
      </c>
      <c r="D44" s="23" t="s">
        <v>184</v>
      </c>
      <c r="E44" s="18" t="s">
        <v>222</v>
      </c>
      <c r="F44" s="22" t="s">
        <v>96</v>
      </c>
      <c r="G44" s="24" t="s">
        <v>7</v>
      </c>
      <c r="H44" s="25"/>
      <c r="I44" s="25"/>
      <c r="J44" s="26" t="n">
        <f aca="false">SUMIFS(Diario!$D:$D,Diario!$B:$B,A44)</f>
        <v>0</v>
      </c>
      <c r="K44" s="18" t="s">
        <v>223</v>
      </c>
      <c r="L44" s="18" t="s">
        <v>224</v>
      </c>
      <c r="M44" s="27"/>
    </row>
    <row r="45" customFormat="false" ht="15" hidden="false" customHeight="false" outlineLevel="0" collapsed="false">
      <c r="A45" s="22" t="s">
        <v>225</v>
      </c>
      <c r="B45" s="23" t="n">
        <v>6</v>
      </c>
      <c r="C45" s="22" t="s">
        <v>18</v>
      </c>
      <c r="D45" s="23" t="s">
        <v>179</v>
      </c>
      <c r="E45" s="18" t="s">
        <v>226</v>
      </c>
      <c r="F45" s="22" t="s">
        <v>96</v>
      </c>
      <c r="G45" s="24" t="s">
        <v>7</v>
      </c>
      <c r="H45" s="25"/>
      <c r="I45" s="25"/>
      <c r="J45" s="26" t="n">
        <f aca="false">SUMIFS(Diario!$D:$D,Diario!$B:$B,A45)</f>
        <v>0</v>
      </c>
      <c r="K45" s="18" t="s">
        <v>227</v>
      </c>
      <c r="L45" s="18" t="s">
        <v>228</v>
      </c>
      <c r="M45" s="27"/>
    </row>
    <row r="46" customFormat="false" ht="26.85" hidden="false" customHeight="false" outlineLevel="0" collapsed="false">
      <c r="A46" s="22" t="s">
        <v>229</v>
      </c>
      <c r="B46" s="23" t="n">
        <v>7</v>
      </c>
      <c r="C46" s="22" t="s">
        <v>19</v>
      </c>
      <c r="D46" s="23" t="s">
        <v>166</v>
      </c>
      <c r="E46" s="18" t="s">
        <v>230</v>
      </c>
      <c r="F46" s="22" t="s">
        <v>96</v>
      </c>
      <c r="G46" s="24" t="s">
        <v>7</v>
      </c>
      <c r="H46" s="25"/>
      <c r="I46" s="25"/>
      <c r="J46" s="26" t="n">
        <f aca="false">SUMIFS(Diario!$D:$D,Diario!$B:$B,A46)</f>
        <v>0</v>
      </c>
      <c r="K46" s="18" t="s">
        <v>231</v>
      </c>
      <c r="L46" s="18" t="s">
        <v>232</v>
      </c>
      <c r="M46" s="27"/>
    </row>
    <row r="47" customFormat="false" ht="26.85" hidden="false" customHeight="false" outlineLevel="0" collapsed="false">
      <c r="A47" s="22" t="s">
        <v>233</v>
      </c>
      <c r="B47" s="23" t="n">
        <v>7</v>
      </c>
      <c r="C47" s="22" t="s">
        <v>16</v>
      </c>
      <c r="D47" s="23" t="s">
        <v>184</v>
      </c>
      <c r="E47" s="18" t="s">
        <v>234</v>
      </c>
      <c r="F47" s="22" t="s">
        <v>149</v>
      </c>
      <c r="G47" s="24" t="s">
        <v>7</v>
      </c>
      <c r="H47" s="25"/>
      <c r="I47" s="25"/>
      <c r="J47" s="26" t="n">
        <f aca="false">SUMIFS(Diario!$D:$D,Diario!$B:$B,A47)</f>
        <v>0</v>
      </c>
      <c r="K47" s="18" t="s">
        <v>235</v>
      </c>
      <c r="L47" s="18" t="s">
        <v>236</v>
      </c>
      <c r="M47" s="27"/>
    </row>
    <row r="48" customFormat="false" ht="15" hidden="false" customHeight="false" outlineLevel="0" collapsed="false">
      <c r="A48" s="22" t="s">
        <v>237</v>
      </c>
      <c r="B48" s="23" t="n">
        <v>7</v>
      </c>
      <c r="C48" s="22" t="s">
        <v>16</v>
      </c>
      <c r="D48" s="23" t="s">
        <v>184</v>
      </c>
      <c r="E48" s="18" t="s">
        <v>238</v>
      </c>
      <c r="F48" s="22" t="s">
        <v>149</v>
      </c>
      <c r="G48" s="24" t="s">
        <v>7</v>
      </c>
      <c r="H48" s="25"/>
      <c r="I48" s="25"/>
      <c r="J48" s="26" t="n">
        <f aca="false">SUMIFS(Diario!$D:$D,Diario!$B:$B,A48)</f>
        <v>0</v>
      </c>
      <c r="K48" s="18" t="s">
        <v>223</v>
      </c>
      <c r="L48" s="18" t="s">
        <v>239</v>
      </c>
      <c r="M48" s="27"/>
    </row>
    <row r="49" customFormat="false" ht="15" hidden="false" customHeight="false" outlineLevel="0" collapsed="false">
      <c r="A49" s="22" t="s">
        <v>240</v>
      </c>
      <c r="B49" s="23" t="n">
        <v>7</v>
      </c>
      <c r="C49" s="22" t="s">
        <v>16</v>
      </c>
      <c r="D49" s="23" t="s">
        <v>184</v>
      </c>
      <c r="E49" s="18" t="s">
        <v>241</v>
      </c>
      <c r="F49" s="22" t="s">
        <v>96</v>
      </c>
      <c r="G49" s="24" t="s">
        <v>7</v>
      </c>
      <c r="H49" s="25"/>
      <c r="I49" s="25"/>
      <c r="J49" s="26" t="n">
        <f aca="false">SUMIFS(Diario!$D:$D,Diario!$B:$B,A49)</f>
        <v>0</v>
      </c>
      <c r="K49" s="18" t="s">
        <v>106</v>
      </c>
      <c r="L49" s="18" t="s">
        <v>242</v>
      </c>
      <c r="M49" s="27"/>
    </row>
    <row r="50" customFormat="false" ht="15" hidden="false" customHeight="false" outlineLevel="0" collapsed="false">
      <c r="A50" s="22" t="s">
        <v>243</v>
      </c>
      <c r="B50" s="23" t="n">
        <v>7</v>
      </c>
      <c r="C50" s="22" t="s">
        <v>16</v>
      </c>
      <c r="D50" s="23" t="s">
        <v>184</v>
      </c>
      <c r="E50" s="18" t="s">
        <v>244</v>
      </c>
      <c r="F50" s="22" t="s">
        <v>96</v>
      </c>
      <c r="G50" s="24" t="s">
        <v>7</v>
      </c>
      <c r="H50" s="25"/>
      <c r="I50" s="25"/>
      <c r="J50" s="26" t="n">
        <f aca="false">SUMIFS(Diario!$D:$D,Diario!$B:$B,A50)</f>
        <v>0</v>
      </c>
      <c r="K50" s="18" t="s">
        <v>124</v>
      </c>
      <c r="L50" s="18" t="s">
        <v>245</v>
      </c>
      <c r="M50" s="27"/>
    </row>
    <row r="51" customFormat="false" ht="15" hidden="false" customHeight="false" outlineLevel="0" collapsed="false">
      <c r="A51" s="22" t="s">
        <v>246</v>
      </c>
      <c r="B51" s="23" t="n">
        <v>7</v>
      </c>
      <c r="C51" s="22" t="s">
        <v>16</v>
      </c>
      <c r="D51" s="23" t="s">
        <v>184</v>
      </c>
      <c r="E51" s="18" t="s">
        <v>247</v>
      </c>
      <c r="F51" s="22" t="s">
        <v>96</v>
      </c>
      <c r="G51" s="24" t="s">
        <v>7</v>
      </c>
      <c r="H51" s="25"/>
      <c r="I51" s="25"/>
      <c r="J51" s="26" t="n">
        <f aca="false">SUMIFS(Diario!$D:$D,Diario!$B:$B,A51)</f>
        <v>0</v>
      </c>
      <c r="K51" s="18" t="s">
        <v>119</v>
      </c>
      <c r="L51" s="18" t="s">
        <v>248</v>
      </c>
      <c r="M51" s="27"/>
    </row>
    <row r="52" customFormat="false" ht="26.85" hidden="false" customHeight="false" outlineLevel="0" collapsed="false">
      <c r="A52" s="22" t="s">
        <v>249</v>
      </c>
      <c r="B52" s="23" t="n">
        <v>7</v>
      </c>
      <c r="C52" s="22" t="s">
        <v>18</v>
      </c>
      <c r="D52" s="23" t="s">
        <v>179</v>
      </c>
      <c r="E52" s="18" t="s">
        <v>250</v>
      </c>
      <c r="F52" s="22" t="s">
        <v>96</v>
      </c>
      <c r="G52" s="24" t="s">
        <v>7</v>
      </c>
      <c r="H52" s="25"/>
      <c r="I52" s="25"/>
      <c r="J52" s="26" t="n">
        <f aca="false">SUMIFS(Diario!$D:$D,Diario!$B:$B,A52)</f>
        <v>0</v>
      </c>
      <c r="K52" s="18" t="s">
        <v>251</v>
      </c>
      <c r="L52" s="18" t="s">
        <v>252</v>
      </c>
      <c r="M52" s="27"/>
    </row>
    <row r="53" customFormat="false" ht="15" hidden="false" customHeight="false" outlineLevel="0" collapsed="false">
      <c r="A53" s="22" t="s">
        <v>253</v>
      </c>
      <c r="B53" s="23" t="n">
        <v>8</v>
      </c>
      <c r="C53" s="22" t="s">
        <v>19</v>
      </c>
      <c r="D53" s="23" t="s">
        <v>166</v>
      </c>
      <c r="E53" s="18" t="s">
        <v>254</v>
      </c>
      <c r="F53" s="22" t="s">
        <v>69</v>
      </c>
      <c r="G53" s="24" t="s">
        <v>7</v>
      </c>
      <c r="H53" s="25"/>
      <c r="I53" s="25"/>
      <c r="J53" s="26" t="n">
        <f aca="false">SUMIFS(Diario!$D:$D,Diario!$B:$B,A53)</f>
        <v>0</v>
      </c>
      <c r="K53" s="18" t="s">
        <v>255</v>
      </c>
      <c r="L53" s="18" t="s">
        <v>256</v>
      </c>
      <c r="M53" s="27"/>
    </row>
    <row r="54" customFormat="false" ht="15" hidden="false" customHeight="false" outlineLevel="0" collapsed="false">
      <c r="A54" s="22" t="s">
        <v>257</v>
      </c>
      <c r="B54" s="23" t="n">
        <v>8</v>
      </c>
      <c r="C54" s="22" t="s">
        <v>19</v>
      </c>
      <c r="D54" s="23" t="s">
        <v>166</v>
      </c>
      <c r="E54" s="18" t="s">
        <v>258</v>
      </c>
      <c r="F54" s="22" t="s">
        <v>69</v>
      </c>
      <c r="G54" s="24" t="s">
        <v>7</v>
      </c>
      <c r="H54" s="25"/>
      <c r="I54" s="25"/>
      <c r="J54" s="26" t="n">
        <f aca="false">SUMIFS(Diario!$D:$D,Diario!$B:$B,A54)</f>
        <v>0</v>
      </c>
      <c r="K54" s="18" t="s">
        <v>119</v>
      </c>
      <c r="L54" s="18" t="s">
        <v>259</v>
      </c>
      <c r="M54" s="27"/>
    </row>
    <row r="55" customFormat="false" ht="26.85" hidden="false" customHeight="false" outlineLevel="0" collapsed="false">
      <c r="A55" s="22" t="s">
        <v>260</v>
      </c>
      <c r="B55" s="23" t="n">
        <v>8</v>
      </c>
      <c r="C55" s="22" t="s">
        <v>17</v>
      </c>
      <c r="D55" s="23" t="s">
        <v>261</v>
      </c>
      <c r="E55" s="18" t="s">
        <v>262</v>
      </c>
      <c r="F55" s="22" t="s">
        <v>96</v>
      </c>
      <c r="G55" s="24" t="s">
        <v>7</v>
      </c>
      <c r="H55" s="25"/>
      <c r="I55" s="25"/>
      <c r="J55" s="26" t="n">
        <f aca="false">SUMIFS(Diario!$D:$D,Diario!$B:$B,A55)</f>
        <v>0</v>
      </c>
      <c r="K55" s="18" t="s">
        <v>119</v>
      </c>
      <c r="L55" s="18" t="s">
        <v>263</v>
      </c>
      <c r="M55" s="27"/>
    </row>
    <row r="56" customFormat="false" ht="26.85" hidden="false" customHeight="false" outlineLevel="0" collapsed="false">
      <c r="A56" s="22" t="s">
        <v>264</v>
      </c>
      <c r="B56" s="23" t="n">
        <v>8</v>
      </c>
      <c r="C56" s="22" t="s">
        <v>17</v>
      </c>
      <c r="D56" s="23" t="s">
        <v>261</v>
      </c>
      <c r="E56" s="18" t="s">
        <v>265</v>
      </c>
      <c r="F56" s="22" t="s">
        <v>149</v>
      </c>
      <c r="G56" s="24" t="s">
        <v>7</v>
      </c>
      <c r="H56" s="25"/>
      <c r="I56" s="25"/>
      <c r="J56" s="26" t="n">
        <f aca="false">SUMIFS(Diario!$D:$D,Diario!$B:$B,A56)</f>
        <v>0</v>
      </c>
      <c r="K56" s="18" t="s">
        <v>85</v>
      </c>
      <c r="L56" s="18" t="s">
        <v>266</v>
      </c>
      <c r="M56" s="27"/>
    </row>
    <row r="57" customFormat="false" ht="15" hidden="false" customHeight="false" outlineLevel="0" collapsed="false">
      <c r="A57" s="22" t="s">
        <v>267</v>
      </c>
      <c r="B57" s="23" t="n">
        <v>8</v>
      </c>
      <c r="C57" s="22" t="s">
        <v>17</v>
      </c>
      <c r="D57" s="23" t="s">
        <v>184</v>
      </c>
      <c r="E57" s="18" t="s">
        <v>268</v>
      </c>
      <c r="F57" s="22" t="s">
        <v>96</v>
      </c>
      <c r="G57" s="24" t="s">
        <v>7</v>
      </c>
      <c r="H57" s="25"/>
      <c r="I57" s="25"/>
      <c r="J57" s="26" t="n">
        <f aca="false">SUMIFS(Diario!$D:$D,Diario!$B:$B,A57)</f>
        <v>0</v>
      </c>
      <c r="K57" s="18" t="s">
        <v>85</v>
      </c>
      <c r="L57" s="18" t="s">
        <v>269</v>
      </c>
      <c r="M57" s="27"/>
    </row>
    <row r="58" customFormat="false" ht="15" hidden="false" customHeight="false" outlineLevel="0" collapsed="false">
      <c r="A58" s="22" t="s">
        <v>270</v>
      </c>
      <c r="B58" s="23" t="n">
        <v>8</v>
      </c>
      <c r="C58" s="22" t="s">
        <v>16</v>
      </c>
      <c r="D58" s="23" t="s">
        <v>271</v>
      </c>
      <c r="E58" s="18" t="s">
        <v>272</v>
      </c>
      <c r="F58" s="22" t="s">
        <v>96</v>
      </c>
      <c r="G58" s="24" t="s">
        <v>7</v>
      </c>
      <c r="H58" s="25"/>
      <c r="I58" s="25"/>
      <c r="J58" s="26" t="n">
        <f aca="false">SUMIFS(Diario!$D:$D,Diario!$B:$B,A58)</f>
        <v>0</v>
      </c>
      <c r="K58" s="18" t="s">
        <v>124</v>
      </c>
      <c r="L58" s="18" t="s">
        <v>273</v>
      </c>
      <c r="M58" s="27"/>
    </row>
    <row r="59" customFormat="false" ht="15" hidden="false" customHeight="false" outlineLevel="0" collapsed="false">
      <c r="A59" s="22" t="s">
        <v>274</v>
      </c>
      <c r="B59" s="23" t="n">
        <v>8</v>
      </c>
      <c r="C59" s="22" t="s">
        <v>16</v>
      </c>
      <c r="D59" s="23" t="s">
        <v>271</v>
      </c>
      <c r="E59" s="18" t="s">
        <v>275</v>
      </c>
      <c r="F59" s="22" t="s">
        <v>149</v>
      </c>
      <c r="G59" s="24" t="s">
        <v>7</v>
      </c>
      <c r="H59" s="25"/>
      <c r="I59" s="25"/>
      <c r="J59" s="26" t="n">
        <f aca="false">SUMIFS(Diario!$D:$D,Diario!$B:$B,A59)</f>
        <v>0</v>
      </c>
      <c r="K59" s="18" t="s">
        <v>85</v>
      </c>
      <c r="L59" s="18" t="s">
        <v>276</v>
      </c>
      <c r="M59" s="27"/>
    </row>
    <row r="60" customFormat="false" ht="15" hidden="false" customHeight="false" outlineLevel="0" collapsed="false">
      <c r="A60" s="22" t="s">
        <v>277</v>
      </c>
      <c r="B60" s="23" t="n">
        <v>8</v>
      </c>
      <c r="C60" s="22" t="s">
        <v>16</v>
      </c>
      <c r="D60" s="23" t="s">
        <v>184</v>
      </c>
      <c r="E60" s="18" t="s">
        <v>278</v>
      </c>
      <c r="F60" s="22" t="s">
        <v>149</v>
      </c>
      <c r="G60" s="24" t="s">
        <v>7</v>
      </c>
      <c r="H60" s="25"/>
      <c r="I60" s="25"/>
      <c r="J60" s="26" t="n">
        <f aca="false">SUMIFS(Diario!$D:$D,Diario!$B:$B,A60)</f>
        <v>0</v>
      </c>
      <c r="K60" s="18" t="s">
        <v>85</v>
      </c>
      <c r="L60" s="18" t="s">
        <v>279</v>
      </c>
      <c r="M60" s="27"/>
    </row>
    <row r="61" customFormat="false" ht="15" hidden="false" customHeight="false" outlineLevel="0" collapsed="false">
      <c r="A61" s="22" t="s">
        <v>280</v>
      </c>
      <c r="B61" s="23" t="n">
        <v>8</v>
      </c>
      <c r="C61" s="22" t="s">
        <v>16</v>
      </c>
      <c r="D61" s="23" t="s">
        <v>184</v>
      </c>
      <c r="E61" s="18" t="s">
        <v>281</v>
      </c>
      <c r="F61" s="22" t="s">
        <v>69</v>
      </c>
      <c r="G61" s="24" t="s">
        <v>7</v>
      </c>
      <c r="H61" s="25"/>
      <c r="I61" s="25"/>
      <c r="J61" s="26" t="n">
        <f aca="false">SUMIFS(Diario!$D:$D,Diario!$B:$B,A61)</f>
        <v>0</v>
      </c>
      <c r="K61" s="18" t="s">
        <v>85</v>
      </c>
      <c r="L61" s="18" t="s">
        <v>282</v>
      </c>
      <c r="M61" s="27"/>
    </row>
    <row r="62" customFormat="false" ht="15" hidden="false" customHeight="false" outlineLevel="0" collapsed="false">
      <c r="A62" s="22" t="s">
        <v>283</v>
      </c>
      <c r="B62" s="23" t="n">
        <v>8</v>
      </c>
      <c r="C62" s="22" t="s">
        <v>18</v>
      </c>
      <c r="D62" s="23" t="s">
        <v>179</v>
      </c>
      <c r="E62" s="18" t="s">
        <v>284</v>
      </c>
      <c r="F62" s="22" t="s">
        <v>69</v>
      </c>
      <c r="G62" s="24" t="s">
        <v>7</v>
      </c>
      <c r="H62" s="25"/>
      <c r="I62" s="25"/>
      <c r="J62" s="26" t="n">
        <f aca="false">SUMIFS(Diario!$D:$D,Diario!$B:$B,A62)</f>
        <v>0</v>
      </c>
      <c r="K62" s="18" t="s">
        <v>285</v>
      </c>
      <c r="L62" s="18" t="s">
        <v>286</v>
      </c>
      <c r="M62" s="27"/>
    </row>
  </sheetData>
  <conditionalFormatting sqref="G2:G62">
    <cfRule type="cellIs" priority="2" operator="equal" aboveAverage="0" equalAverage="0" bottom="0" percent="0" rank="0" text="" dxfId="11">
      <formula>"Concluído"</formula>
    </cfRule>
    <cfRule type="cellIs" priority="3" operator="equal" aboveAverage="0" equalAverage="0" bottom="0" percent="0" rank="0" text="" dxfId="12">
      <formula>"Estudando"</formula>
    </cfRule>
    <cfRule type="cellIs" priority="4" operator="equal" aboveAverage="0" equalAverage="0" bottom="0" percent="0" rank="0" text="" dxfId="13">
      <formula>"Revisar"</formula>
    </cfRule>
    <cfRule type="cellIs" priority="5" operator="equal" aboveAverage="0" equalAverage="0" bottom="0" percent="0" rank="0" text="" dxfId="14">
      <formula>"Não iniciado"</formula>
    </cfRule>
  </conditionalFormatting>
  <conditionalFormatting sqref="A2:F62">
    <cfRule type="expression" priority="6" aboveAverage="0" equalAverage="0" bottom="0" percent="0" rank="0" text="" dxfId="15">
      <formula>$G2="Concluído"</formula>
    </cfRule>
  </conditionalFormatting>
  <conditionalFormatting sqref="F2:F62">
    <cfRule type="cellIs" priority="7" operator="equal" aboveAverage="0" equalAverage="0" bottom="0" percent="0" rank="0" text="" dxfId="16">
      <formula>"Avançado"</formula>
    </cfRule>
    <cfRule type="cellIs" priority="8" operator="equal" aboveAverage="0" equalAverage="0" bottom="0" percent="0" rank="0" text="" dxfId="17">
      <formula>"Intermediário"</formula>
    </cfRule>
    <cfRule type="cellIs" priority="9" operator="equal" aboveAverage="0" equalAverage="0" bottom="0" percent="0" rank="0" text="" dxfId="18">
      <formula>"Básico"</formula>
    </cfRule>
  </conditionalFormatting>
  <dataValidations count="2">
    <dataValidation allowBlank="false" error="Escolha um item da lista." errorStyle="stop" errorTitle="Status inválido" operator="between" showDropDown="false" showErrorMessage="true" showInputMessage="false" sqref="G2:G62" type="list">
      <formula1>"Não iniciado,Estudando,Concluído,Revisar"</formula1>
      <formula2>0</formula2>
    </dataValidation>
    <dataValidation allowBlank="true" error="Digite uma data válida (dd/mm/aaaa)." errorStyle="stop" operator="greaterThan" showDropDown="false" showErrorMessage="true" showInputMessage="false" sqref="H2:I62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0" t="s">
        <v>287</v>
      </c>
      <c r="B1" s="10" t="s">
        <v>288</v>
      </c>
      <c r="C1" s="10" t="s">
        <v>289</v>
      </c>
      <c r="D1" s="10" t="s">
        <v>13</v>
      </c>
      <c r="E1" s="10" t="s">
        <v>290</v>
      </c>
    </row>
    <row r="2" customFormat="false" ht="15" hidden="false" customHeight="false" outlineLevel="0" collapsed="false">
      <c r="A2" s="28" t="n">
        <v>46315</v>
      </c>
      <c r="B2" s="29" t="s">
        <v>66</v>
      </c>
      <c r="C2" s="2" t="str">
        <f aca="false">IFERROR(INDEX(Checklist!$E:$E,MATCH(B2,Checklist!$A:$A,0)),"")</f>
        <v>Tabelas formatadas (Ctrl+T) e boas práticas de nomes de colunas</v>
      </c>
      <c r="D2" s="30" t="n">
        <v>0</v>
      </c>
      <c r="E2" s="29" t="s">
        <v>291</v>
      </c>
    </row>
    <row r="3" customFormat="false" ht="15" hidden="false" customHeight="false" outlineLevel="0" collapsed="false">
      <c r="A3" s="31"/>
      <c r="B3" s="32"/>
      <c r="C3" s="8" t="str">
        <f aca="false">IF(B3="","",IFERROR(INDEX(Checklist!$E:$E,MATCH(B3,Checklist!$A:$A,0)),"ID não encontrado"))</f>
        <v/>
      </c>
      <c r="D3" s="33"/>
      <c r="E3" s="32"/>
    </row>
    <row r="4" customFormat="false" ht="15" hidden="false" customHeight="false" outlineLevel="0" collapsed="false">
      <c r="A4" s="31"/>
      <c r="B4" s="32"/>
      <c r="C4" s="8" t="str">
        <f aca="false">IF(B4="","",IFERROR(INDEX(Checklist!$E:$E,MATCH(B4,Checklist!$A:$A,0)),"ID não encontrado"))</f>
        <v/>
      </c>
      <c r="D4" s="33"/>
      <c r="E4" s="32"/>
    </row>
    <row r="5" customFormat="false" ht="15" hidden="false" customHeight="false" outlineLevel="0" collapsed="false">
      <c r="A5" s="31"/>
      <c r="B5" s="32"/>
      <c r="C5" s="8" t="str">
        <f aca="false">IF(B5="","",IFERROR(INDEX(Checklist!$E:$E,MATCH(B5,Checklist!$A:$A,0)),"ID não encontrado"))</f>
        <v/>
      </c>
      <c r="D5" s="33"/>
      <c r="E5" s="32"/>
    </row>
    <row r="6" customFormat="false" ht="15" hidden="false" customHeight="false" outlineLevel="0" collapsed="false">
      <c r="A6" s="31"/>
      <c r="B6" s="32"/>
      <c r="C6" s="8" t="str">
        <f aca="false">IF(B6="","",IFERROR(INDEX(Checklist!$E:$E,MATCH(B6,Checklist!$A:$A,0)),"ID não encontrado"))</f>
        <v/>
      </c>
      <c r="D6" s="33"/>
      <c r="E6" s="32"/>
    </row>
    <row r="7" customFormat="false" ht="15" hidden="false" customHeight="false" outlineLevel="0" collapsed="false">
      <c r="A7" s="31"/>
      <c r="B7" s="32"/>
      <c r="C7" s="8" t="str">
        <f aca="false">IF(B7="","",IFERROR(INDEX(Checklist!$E:$E,MATCH(B7,Checklist!$A:$A,0)),"ID não encontrado"))</f>
        <v/>
      </c>
      <c r="D7" s="33"/>
      <c r="E7" s="32"/>
    </row>
    <row r="8" customFormat="false" ht="15" hidden="false" customHeight="false" outlineLevel="0" collapsed="false">
      <c r="A8" s="31"/>
      <c r="B8" s="32"/>
      <c r="C8" s="8" t="str">
        <f aca="false">IF(B8="","",IFERROR(INDEX(Checklist!$E:$E,MATCH(B8,Checklist!$A:$A,0)),"ID não encontrado"))</f>
        <v/>
      </c>
      <c r="D8" s="33"/>
      <c r="E8" s="32"/>
    </row>
    <row r="9" customFormat="false" ht="15" hidden="false" customHeight="false" outlineLevel="0" collapsed="false">
      <c r="A9" s="31"/>
      <c r="B9" s="32"/>
      <c r="C9" s="8" t="str">
        <f aca="false">IF(B9="","",IFERROR(INDEX(Checklist!$E:$E,MATCH(B9,Checklist!$A:$A,0)),"ID não encontrado"))</f>
        <v/>
      </c>
      <c r="D9" s="33"/>
      <c r="E9" s="32"/>
    </row>
    <row r="10" customFormat="false" ht="15" hidden="false" customHeight="false" outlineLevel="0" collapsed="false">
      <c r="A10" s="31"/>
      <c r="B10" s="32"/>
      <c r="C10" s="8" t="str">
        <f aca="false">IF(B10="","",IFERROR(INDEX(Checklist!$E:$E,MATCH(B10,Checklist!$A:$A,0)),"ID não encontrado"))</f>
        <v/>
      </c>
      <c r="D10" s="33"/>
      <c r="E10" s="32"/>
    </row>
    <row r="11" customFormat="false" ht="15" hidden="false" customHeight="false" outlineLevel="0" collapsed="false">
      <c r="A11" s="31"/>
      <c r="B11" s="32"/>
      <c r="C11" s="8" t="str">
        <f aca="false">IF(B11="","",IFERROR(INDEX(Checklist!$E:$E,MATCH(B11,Checklist!$A:$A,0)),"ID não encontrado"))</f>
        <v/>
      </c>
      <c r="D11" s="33"/>
      <c r="E11" s="32"/>
    </row>
    <row r="12" customFormat="false" ht="15" hidden="false" customHeight="false" outlineLevel="0" collapsed="false">
      <c r="A12" s="31"/>
      <c r="B12" s="32"/>
      <c r="C12" s="8" t="str">
        <f aca="false">IF(B12="","",IFERROR(INDEX(Checklist!$E:$E,MATCH(B12,Checklist!$A:$A,0)),"ID não encontrado"))</f>
        <v/>
      </c>
      <c r="D12" s="33"/>
      <c r="E12" s="32"/>
    </row>
    <row r="13" customFormat="false" ht="15" hidden="false" customHeight="false" outlineLevel="0" collapsed="false">
      <c r="A13" s="31"/>
      <c r="B13" s="32"/>
      <c r="C13" s="8" t="str">
        <f aca="false">IF(B13="","",IFERROR(INDEX(Checklist!$E:$E,MATCH(B13,Checklist!$A:$A,0)),"ID não encontrado"))</f>
        <v/>
      </c>
      <c r="D13" s="33"/>
      <c r="E13" s="32"/>
    </row>
    <row r="14" customFormat="false" ht="15" hidden="false" customHeight="false" outlineLevel="0" collapsed="false">
      <c r="A14" s="31"/>
      <c r="B14" s="32"/>
      <c r="C14" s="8" t="str">
        <f aca="false">IF(B14="","",IFERROR(INDEX(Checklist!$E:$E,MATCH(B14,Checklist!$A:$A,0)),"ID não encontrado"))</f>
        <v/>
      </c>
      <c r="D14" s="33"/>
      <c r="E14" s="32"/>
    </row>
    <row r="15" customFormat="false" ht="15" hidden="false" customHeight="false" outlineLevel="0" collapsed="false">
      <c r="A15" s="31"/>
      <c r="B15" s="32"/>
      <c r="C15" s="8" t="str">
        <f aca="false">IF(B15="","",IFERROR(INDEX(Checklist!$E:$E,MATCH(B15,Checklist!$A:$A,0)),"ID não encontrado"))</f>
        <v/>
      </c>
      <c r="D15" s="33"/>
      <c r="E15" s="32"/>
    </row>
    <row r="16" customFormat="false" ht="15" hidden="false" customHeight="false" outlineLevel="0" collapsed="false">
      <c r="A16" s="31"/>
      <c r="B16" s="32"/>
      <c r="C16" s="8" t="str">
        <f aca="false">IF(B16="","",IFERROR(INDEX(Checklist!$E:$E,MATCH(B16,Checklist!$A:$A,0)),"ID não encontrado"))</f>
        <v/>
      </c>
      <c r="D16" s="33"/>
      <c r="E16" s="32"/>
    </row>
    <row r="17" customFormat="false" ht="15" hidden="false" customHeight="false" outlineLevel="0" collapsed="false">
      <c r="A17" s="31"/>
      <c r="B17" s="32"/>
      <c r="C17" s="8" t="str">
        <f aca="false">IF(B17="","",IFERROR(INDEX(Checklist!$E:$E,MATCH(B17,Checklist!$A:$A,0)),"ID não encontrado"))</f>
        <v/>
      </c>
      <c r="D17" s="33"/>
      <c r="E17" s="32"/>
    </row>
    <row r="18" customFormat="false" ht="15" hidden="false" customHeight="false" outlineLevel="0" collapsed="false">
      <c r="A18" s="31"/>
      <c r="B18" s="32"/>
      <c r="C18" s="8" t="str">
        <f aca="false">IF(B18="","",IFERROR(INDEX(Checklist!$E:$E,MATCH(B18,Checklist!$A:$A,0)),"ID não encontrado"))</f>
        <v/>
      </c>
      <c r="D18" s="33"/>
      <c r="E18" s="32"/>
    </row>
    <row r="19" customFormat="false" ht="15" hidden="false" customHeight="false" outlineLevel="0" collapsed="false">
      <c r="A19" s="31"/>
      <c r="B19" s="32"/>
      <c r="C19" s="8" t="str">
        <f aca="false">IF(B19="","",IFERROR(INDEX(Checklist!$E:$E,MATCH(B19,Checklist!$A:$A,0)),"ID não encontrado"))</f>
        <v/>
      </c>
      <c r="D19" s="33"/>
      <c r="E19" s="32"/>
    </row>
    <row r="20" customFormat="false" ht="15" hidden="false" customHeight="false" outlineLevel="0" collapsed="false">
      <c r="A20" s="31"/>
      <c r="B20" s="32"/>
      <c r="C20" s="8" t="str">
        <f aca="false">IF(B20="","",IFERROR(INDEX(Checklist!$E:$E,MATCH(B20,Checklist!$A:$A,0)),"ID não encontrado"))</f>
        <v/>
      </c>
      <c r="D20" s="33"/>
      <c r="E20" s="32"/>
    </row>
    <row r="21" customFormat="false" ht="15" hidden="false" customHeight="false" outlineLevel="0" collapsed="false">
      <c r="A21" s="31"/>
      <c r="B21" s="32"/>
      <c r="C21" s="8" t="str">
        <f aca="false">IF(B21="","",IFERROR(INDEX(Checklist!$E:$E,MATCH(B21,Checklist!$A:$A,0)),"ID não encontrado"))</f>
        <v/>
      </c>
      <c r="D21" s="33"/>
      <c r="E21" s="32"/>
    </row>
    <row r="22" customFormat="false" ht="15" hidden="false" customHeight="false" outlineLevel="0" collapsed="false">
      <c r="A22" s="31"/>
      <c r="B22" s="32"/>
      <c r="C22" s="8" t="str">
        <f aca="false">IF(B22="","",IFERROR(INDEX(Checklist!$E:$E,MATCH(B22,Checklist!$A:$A,0)),"ID não encontrado"))</f>
        <v/>
      </c>
      <c r="D22" s="33"/>
      <c r="E22" s="32"/>
    </row>
    <row r="23" customFormat="false" ht="15" hidden="false" customHeight="false" outlineLevel="0" collapsed="false">
      <c r="A23" s="31"/>
      <c r="B23" s="32"/>
      <c r="C23" s="8" t="str">
        <f aca="false">IF(B23="","",IFERROR(INDEX(Checklist!$E:$E,MATCH(B23,Checklist!$A:$A,0)),"ID não encontrado"))</f>
        <v/>
      </c>
      <c r="D23" s="33"/>
      <c r="E23" s="32"/>
    </row>
    <row r="24" customFormat="false" ht="15" hidden="false" customHeight="false" outlineLevel="0" collapsed="false">
      <c r="A24" s="31"/>
      <c r="B24" s="32"/>
      <c r="C24" s="8" t="str">
        <f aca="false">IF(B24="","",IFERROR(INDEX(Checklist!$E:$E,MATCH(B24,Checklist!$A:$A,0)),"ID não encontrado"))</f>
        <v/>
      </c>
      <c r="D24" s="33"/>
      <c r="E24" s="32"/>
    </row>
    <row r="25" customFormat="false" ht="15" hidden="false" customHeight="false" outlineLevel="0" collapsed="false">
      <c r="A25" s="31"/>
      <c r="B25" s="32"/>
      <c r="C25" s="8" t="str">
        <f aca="false">IF(B25="","",IFERROR(INDEX(Checklist!$E:$E,MATCH(B25,Checklist!$A:$A,0)),"ID não encontrado"))</f>
        <v/>
      </c>
      <c r="D25" s="33"/>
      <c r="E25" s="32"/>
    </row>
    <row r="26" customFormat="false" ht="15" hidden="false" customHeight="false" outlineLevel="0" collapsed="false">
      <c r="A26" s="31"/>
      <c r="B26" s="32"/>
      <c r="C26" s="8" t="str">
        <f aca="false">IF(B26="","",IFERROR(INDEX(Checklist!$E:$E,MATCH(B26,Checklist!$A:$A,0)),"ID não encontrado"))</f>
        <v/>
      </c>
      <c r="D26" s="33"/>
      <c r="E26" s="32"/>
    </row>
    <row r="27" customFormat="false" ht="15" hidden="false" customHeight="false" outlineLevel="0" collapsed="false">
      <c r="A27" s="31"/>
      <c r="B27" s="32"/>
      <c r="C27" s="8" t="str">
        <f aca="false">IF(B27="","",IFERROR(INDEX(Checklist!$E:$E,MATCH(B27,Checklist!$A:$A,0)),"ID não encontrado"))</f>
        <v/>
      </c>
      <c r="D27" s="33"/>
      <c r="E27" s="32"/>
    </row>
    <row r="28" customFormat="false" ht="15" hidden="false" customHeight="false" outlineLevel="0" collapsed="false">
      <c r="A28" s="31"/>
      <c r="B28" s="32"/>
      <c r="C28" s="8" t="str">
        <f aca="false">IF(B28="","",IFERROR(INDEX(Checklist!$E:$E,MATCH(B28,Checklist!$A:$A,0)),"ID não encontrado"))</f>
        <v/>
      </c>
      <c r="D28" s="33"/>
      <c r="E28" s="32"/>
    </row>
    <row r="29" customFormat="false" ht="15" hidden="false" customHeight="false" outlineLevel="0" collapsed="false">
      <c r="A29" s="31"/>
      <c r="B29" s="32"/>
      <c r="C29" s="8" t="str">
        <f aca="false">IF(B29="","",IFERROR(INDEX(Checklist!$E:$E,MATCH(B29,Checklist!$A:$A,0)),"ID não encontrado"))</f>
        <v/>
      </c>
      <c r="D29" s="33"/>
      <c r="E29" s="32"/>
    </row>
    <row r="30" customFormat="false" ht="15" hidden="false" customHeight="false" outlineLevel="0" collapsed="false">
      <c r="A30" s="31"/>
      <c r="B30" s="32"/>
      <c r="C30" s="8" t="str">
        <f aca="false">IF(B30="","",IFERROR(INDEX(Checklist!$E:$E,MATCH(B30,Checklist!$A:$A,0)),"ID não encontrado"))</f>
        <v/>
      </c>
      <c r="D30" s="33"/>
      <c r="E30" s="32"/>
    </row>
    <row r="31" customFormat="false" ht="15" hidden="false" customHeight="false" outlineLevel="0" collapsed="false">
      <c r="A31" s="31"/>
      <c r="B31" s="32"/>
      <c r="C31" s="8" t="str">
        <f aca="false">IF(B31="","",IFERROR(INDEX(Checklist!$E:$E,MATCH(B31,Checklist!$A:$A,0)),"ID não encontrado"))</f>
        <v/>
      </c>
      <c r="D31" s="33"/>
      <c r="E31" s="32"/>
    </row>
    <row r="32" customFormat="false" ht="15" hidden="false" customHeight="false" outlineLevel="0" collapsed="false">
      <c r="A32" s="31"/>
      <c r="B32" s="32"/>
      <c r="C32" s="8" t="str">
        <f aca="false">IF(B32="","",IFERROR(INDEX(Checklist!$E:$E,MATCH(B32,Checklist!$A:$A,0)),"ID não encontrado"))</f>
        <v/>
      </c>
      <c r="D32" s="33"/>
      <c r="E32" s="32"/>
    </row>
    <row r="33" customFormat="false" ht="15" hidden="false" customHeight="false" outlineLevel="0" collapsed="false">
      <c r="A33" s="31"/>
      <c r="B33" s="32"/>
      <c r="C33" s="8" t="str">
        <f aca="false">IF(B33="","",IFERROR(INDEX(Checklist!$E:$E,MATCH(B33,Checklist!$A:$A,0)),"ID não encontrado"))</f>
        <v/>
      </c>
      <c r="D33" s="33"/>
      <c r="E33" s="32"/>
    </row>
    <row r="34" customFormat="false" ht="15" hidden="false" customHeight="false" outlineLevel="0" collapsed="false">
      <c r="A34" s="31"/>
      <c r="B34" s="32"/>
      <c r="C34" s="8" t="str">
        <f aca="false">IF(B34="","",IFERROR(INDEX(Checklist!$E:$E,MATCH(B34,Checklist!$A:$A,0)),"ID não encontrado"))</f>
        <v/>
      </c>
      <c r="D34" s="33"/>
      <c r="E34" s="32"/>
    </row>
    <row r="35" customFormat="false" ht="15" hidden="false" customHeight="false" outlineLevel="0" collapsed="false">
      <c r="A35" s="31"/>
      <c r="B35" s="32"/>
      <c r="C35" s="8" t="str">
        <f aca="false">IF(B35="","",IFERROR(INDEX(Checklist!$E:$E,MATCH(B35,Checklist!$A:$A,0)),"ID não encontrado"))</f>
        <v/>
      </c>
      <c r="D35" s="33"/>
      <c r="E35" s="32"/>
    </row>
    <row r="36" customFormat="false" ht="15" hidden="false" customHeight="false" outlineLevel="0" collapsed="false">
      <c r="A36" s="31"/>
      <c r="B36" s="32"/>
      <c r="C36" s="8" t="str">
        <f aca="false">IF(B36="","",IFERROR(INDEX(Checklist!$E:$E,MATCH(B36,Checklist!$A:$A,0)),"ID não encontrado"))</f>
        <v/>
      </c>
      <c r="D36" s="33"/>
      <c r="E36" s="32"/>
    </row>
    <row r="37" customFormat="false" ht="15" hidden="false" customHeight="false" outlineLevel="0" collapsed="false">
      <c r="A37" s="31"/>
      <c r="B37" s="32"/>
      <c r="C37" s="8" t="str">
        <f aca="false">IF(B37="","",IFERROR(INDEX(Checklist!$E:$E,MATCH(B37,Checklist!$A:$A,0)),"ID não encontrado"))</f>
        <v/>
      </c>
      <c r="D37" s="33"/>
      <c r="E37" s="32"/>
    </row>
    <row r="38" customFormat="false" ht="15" hidden="false" customHeight="false" outlineLevel="0" collapsed="false">
      <c r="A38" s="31"/>
      <c r="B38" s="32"/>
      <c r="C38" s="8" t="str">
        <f aca="false">IF(B38="","",IFERROR(INDEX(Checklist!$E:$E,MATCH(B38,Checklist!$A:$A,0)),"ID não encontrado"))</f>
        <v/>
      </c>
      <c r="D38" s="33"/>
      <c r="E38" s="32"/>
    </row>
    <row r="39" customFormat="false" ht="15" hidden="false" customHeight="false" outlineLevel="0" collapsed="false">
      <c r="A39" s="31"/>
      <c r="B39" s="32"/>
      <c r="C39" s="8" t="str">
        <f aca="false">IF(B39="","",IFERROR(INDEX(Checklist!$E:$E,MATCH(B39,Checklist!$A:$A,0)),"ID não encontrado"))</f>
        <v/>
      </c>
      <c r="D39" s="33"/>
      <c r="E39" s="32"/>
    </row>
    <row r="40" customFormat="false" ht="15" hidden="false" customHeight="false" outlineLevel="0" collapsed="false">
      <c r="A40" s="31"/>
      <c r="B40" s="32"/>
      <c r="C40" s="8" t="str">
        <f aca="false">IF(B40="","",IFERROR(INDEX(Checklist!$E:$E,MATCH(B40,Checklist!$A:$A,0)),"ID não encontrado"))</f>
        <v/>
      </c>
      <c r="D40" s="33"/>
      <c r="E40" s="32"/>
    </row>
    <row r="41" customFormat="false" ht="15" hidden="false" customHeight="false" outlineLevel="0" collapsed="false">
      <c r="A41" s="31"/>
      <c r="B41" s="32"/>
      <c r="C41" s="8" t="str">
        <f aca="false">IF(B41="","",IFERROR(INDEX(Checklist!$E:$E,MATCH(B41,Checklist!$A:$A,0)),"ID não encontrado"))</f>
        <v/>
      </c>
      <c r="D41" s="33"/>
      <c r="E41" s="32"/>
    </row>
    <row r="42" customFormat="false" ht="15" hidden="false" customHeight="false" outlineLevel="0" collapsed="false">
      <c r="A42" s="31"/>
      <c r="B42" s="32"/>
      <c r="C42" s="8" t="str">
        <f aca="false">IF(B42="","",IFERROR(INDEX(Checklist!$E:$E,MATCH(B42,Checklist!$A:$A,0)),"ID não encontrado"))</f>
        <v/>
      </c>
      <c r="D42" s="33"/>
      <c r="E42" s="32"/>
    </row>
    <row r="43" customFormat="false" ht="15" hidden="false" customHeight="false" outlineLevel="0" collapsed="false">
      <c r="A43" s="31"/>
      <c r="B43" s="32"/>
      <c r="C43" s="8" t="str">
        <f aca="false">IF(B43="","",IFERROR(INDEX(Checklist!$E:$E,MATCH(B43,Checklist!$A:$A,0)),"ID não encontrado"))</f>
        <v/>
      </c>
      <c r="D43" s="33"/>
      <c r="E43" s="32"/>
    </row>
    <row r="44" customFormat="false" ht="15" hidden="false" customHeight="false" outlineLevel="0" collapsed="false">
      <c r="A44" s="31"/>
      <c r="B44" s="32"/>
      <c r="C44" s="8" t="str">
        <f aca="false">IF(B44="","",IFERROR(INDEX(Checklist!$E:$E,MATCH(B44,Checklist!$A:$A,0)),"ID não encontrado"))</f>
        <v/>
      </c>
      <c r="D44" s="33"/>
      <c r="E44" s="32"/>
    </row>
    <row r="45" customFormat="false" ht="15" hidden="false" customHeight="false" outlineLevel="0" collapsed="false">
      <c r="A45" s="31"/>
      <c r="B45" s="32"/>
      <c r="C45" s="8" t="str">
        <f aca="false">IF(B45="","",IFERROR(INDEX(Checklist!$E:$E,MATCH(B45,Checklist!$A:$A,0)),"ID não encontrado"))</f>
        <v/>
      </c>
      <c r="D45" s="33"/>
      <c r="E45" s="32"/>
    </row>
    <row r="46" customFormat="false" ht="15" hidden="false" customHeight="false" outlineLevel="0" collapsed="false">
      <c r="A46" s="31"/>
      <c r="B46" s="32"/>
      <c r="C46" s="8" t="str">
        <f aca="false">IF(B46="","",IFERROR(INDEX(Checklist!$E:$E,MATCH(B46,Checklist!$A:$A,0)),"ID não encontrado"))</f>
        <v/>
      </c>
      <c r="D46" s="33"/>
      <c r="E46" s="32"/>
    </row>
    <row r="47" customFormat="false" ht="15" hidden="false" customHeight="false" outlineLevel="0" collapsed="false">
      <c r="A47" s="31"/>
      <c r="B47" s="32"/>
      <c r="C47" s="8" t="str">
        <f aca="false">IF(B47="","",IFERROR(INDEX(Checklist!$E:$E,MATCH(B47,Checklist!$A:$A,0)),"ID não encontrado"))</f>
        <v/>
      </c>
      <c r="D47" s="33"/>
      <c r="E47" s="32"/>
    </row>
    <row r="48" customFormat="false" ht="15" hidden="false" customHeight="false" outlineLevel="0" collapsed="false">
      <c r="A48" s="31"/>
      <c r="B48" s="32"/>
      <c r="C48" s="8" t="str">
        <f aca="false">IF(B48="","",IFERROR(INDEX(Checklist!$E:$E,MATCH(B48,Checklist!$A:$A,0)),"ID não encontrado"))</f>
        <v/>
      </c>
      <c r="D48" s="33"/>
      <c r="E48" s="32"/>
    </row>
    <row r="49" customFormat="false" ht="15" hidden="false" customHeight="false" outlineLevel="0" collapsed="false">
      <c r="A49" s="31"/>
      <c r="B49" s="32"/>
      <c r="C49" s="8" t="str">
        <f aca="false">IF(B49="","",IFERROR(INDEX(Checklist!$E:$E,MATCH(B49,Checklist!$A:$A,0)),"ID não encontrado"))</f>
        <v/>
      </c>
      <c r="D49" s="33"/>
      <c r="E49" s="32"/>
    </row>
    <row r="50" customFormat="false" ht="15" hidden="false" customHeight="false" outlineLevel="0" collapsed="false">
      <c r="A50" s="31"/>
      <c r="B50" s="32"/>
      <c r="C50" s="8" t="str">
        <f aca="false">IF(B50="","",IFERROR(INDEX(Checklist!$E:$E,MATCH(B50,Checklist!$A:$A,0)),"ID não encontrado"))</f>
        <v/>
      </c>
      <c r="D50" s="33"/>
      <c r="E50" s="32"/>
    </row>
    <row r="51" customFormat="false" ht="15" hidden="false" customHeight="false" outlineLevel="0" collapsed="false">
      <c r="A51" s="31"/>
      <c r="B51" s="32"/>
      <c r="C51" s="8" t="str">
        <f aca="false">IF(B51="","",IFERROR(INDEX(Checklist!$E:$E,MATCH(B51,Checklist!$A:$A,0)),"ID não encontrado"))</f>
        <v/>
      </c>
      <c r="D51" s="33"/>
      <c r="E51" s="32"/>
    </row>
    <row r="52" customFormat="false" ht="15" hidden="false" customHeight="false" outlineLevel="0" collapsed="false">
      <c r="A52" s="31"/>
      <c r="B52" s="32"/>
      <c r="C52" s="8" t="str">
        <f aca="false">IF(B52="","",IFERROR(INDEX(Checklist!$E:$E,MATCH(B52,Checklist!$A:$A,0)),"ID não encontrado"))</f>
        <v/>
      </c>
      <c r="D52" s="33"/>
      <c r="E52" s="32"/>
    </row>
    <row r="53" customFormat="false" ht="15" hidden="false" customHeight="false" outlineLevel="0" collapsed="false">
      <c r="A53" s="31"/>
      <c r="B53" s="32"/>
      <c r="C53" s="8" t="str">
        <f aca="false">IF(B53="","",IFERROR(INDEX(Checklist!$E:$E,MATCH(B53,Checklist!$A:$A,0)),"ID não encontrado"))</f>
        <v/>
      </c>
      <c r="D53" s="33"/>
      <c r="E53" s="32"/>
    </row>
    <row r="54" customFormat="false" ht="15" hidden="false" customHeight="false" outlineLevel="0" collapsed="false">
      <c r="A54" s="31"/>
      <c r="B54" s="32"/>
      <c r="C54" s="8" t="str">
        <f aca="false">IF(B54="","",IFERROR(INDEX(Checklist!$E:$E,MATCH(B54,Checklist!$A:$A,0)),"ID não encontrado"))</f>
        <v/>
      </c>
      <c r="D54" s="33"/>
      <c r="E54" s="32"/>
    </row>
    <row r="55" customFormat="false" ht="15" hidden="false" customHeight="false" outlineLevel="0" collapsed="false">
      <c r="A55" s="31"/>
      <c r="B55" s="32"/>
      <c r="C55" s="8" t="str">
        <f aca="false">IF(B55="","",IFERROR(INDEX(Checklist!$E:$E,MATCH(B55,Checklist!$A:$A,0)),"ID não encontrado"))</f>
        <v/>
      </c>
      <c r="D55" s="33"/>
      <c r="E55" s="32"/>
    </row>
    <row r="56" customFormat="false" ht="15" hidden="false" customHeight="false" outlineLevel="0" collapsed="false">
      <c r="A56" s="31"/>
      <c r="B56" s="32"/>
      <c r="C56" s="8" t="str">
        <f aca="false">IF(B56="","",IFERROR(INDEX(Checklist!$E:$E,MATCH(B56,Checklist!$A:$A,0)),"ID não encontrado"))</f>
        <v/>
      </c>
      <c r="D56" s="33"/>
      <c r="E56" s="32"/>
    </row>
    <row r="57" customFormat="false" ht="15" hidden="false" customHeight="false" outlineLevel="0" collapsed="false">
      <c r="A57" s="31"/>
      <c r="B57" s="32"/>
      <c r="C57" s="8" t="str">
        <f aca="false">IF(B57="","",IFERROR(INDEX(Checklist!$E:$E,MATCH(B57,Checklist!$A:$A,0)),"ID não encontrado"))</f>
        <v/>
      </c>
      <c r="D57" s="33"/>
      <c r="E57" s="32"/>
    </row>
    <row r="58" customFormat="false" ht="15" hidden="false" customHeight="false" outlineLevel="0" collapsed="false">
      <c r="A58" s="31"/>
      <c r="B58" s="32"/>
      <c r="C58" s="8" t="str">
        <f aca="false">IF(B58="","",IFERROR(INDEX(Checklist!$E:$E,MATCH(B58,Checklist!$A:$A,0)),"ID não encontrado"))</f>
        <v/>
      </c>
      <c r="D58" s="33"/>
      <c r="E58" s="32"/>
    </row>
    <row r="59" customFormat="false" ht="15" hidden="false" customHeight="false" outlineLevel="0" collapsed="false">
      <c r="A59" s="31"/>
      <c r="B59" s="32"/>
      <c r="C59" s="8" t="str">
        <f aca="false">IF(B59="","",IFERROR(INDEX(Checklist!$E:$E,MATCH(B59,Checklist!$A:$A,0)),"ID não encontrado"))</f>
        <v/>
      </c>
      <c r="D59" s="33"/>
      <c r="E59" s="32"/>
    </row>
    <row r="60" customFormat="false" ht="15" hidden="false" customHeight="false" outlineLevel="0" collapsed="false">
      <c r="A60" s="31"/>
      <c r="B60" s="32"/>
      <c r="C60" s="8" t="str">
        <f aca="false">IF(B60="","",IFERROR(INDEX(Checklist!$E:$E,MATCH(B60,Checklist!$A:$A,0)),"ID não encontrado"))</f>
        <v/>
      </c>
      <c r="D60" s="33"/>
      <c r="E60" s="32"/>
    </row>
    <row r="61" customFormat="false" ht="15" hidden="false" customHeight="false" outlineLevel="0" collapsed="false">
      <c r="A61" s="31"/>
      <c r="B61" s="32"/>
      <c r="C61" s="8" t="str">
        <f aca="false">IF(B61="","",IFERROR(INDEX(Checklist!$E:$E,MATCH(B61,Checklist!$A:$A,0)),"ID não encontrado"))</f>
        <v/>
      </c>
      <c r="D61" s="33"/>
      <c r="E61" s="32"/>
    </row>
    <row r="62" customFormat="false" ht="15" hidden="false" customHeight="false" outlineLevel="0" collapsed="false">
      <c r="A62" s="31"/>
      <c r="B62" s="32"/>
      <c r="C62" s="8" t="str">
        <f aca="false">IF(B62="","",IFERROR(INDEX(Checklist!$E:$E,MATCH(B62,Checklist!$A:$A,0)),"ID não encontrado"))</f>
        <v/>
      </c>
      <c r="D62" s="33"/>
      <c r="E62" s="32"/>
    </row>
    <row r="63" customFormat="false" ht="15" hidden="false" customHeight="false" outlineLevel="0" collapsed="false">
      <c r="A63" s="31"/>
      <c r="B63" s="32"/>
      <c r="C63" s="8" t="str">
        <f aca="false">IF(B63="","",IFERROR(INDEX(Checklist!$E:$E,MATCH(B63,Checklist!$A:$A,0)),"ID não encontrado"))</f>
        <v/>
      </c>
      <c r="D63" s="33"/>
      <c r="E63" s="32"/>
    </row>
    <row r="64" customFormat="false" ht="15" hidden="false" customHeight="false" outlineLevel="0" collapsed="false">
      <c r="A64" s="31"/>
      <c r="B64" s="32"/>
      <c r="C64" s="8" t="str">
        <f aca="false">IF(B64="","",IFERROR(INDEX(Checklist!$E:$E,MATCH(B64,Checklist!$A:$A,0)),"ID não encontrado"))</f>
        <v/>
      </c>
      <c r="D64" s="33"/>
      <c r="E64" s="32"/>
    </row>
    <row r="65" customFormat="false" ht="15" hidden="false" customHeight="false" outlineLevel="0" collapsed="false">
      <c r="A65" s="31"/>
      <c r="B65" s="32"/>
      <c r="C65" s="8" t="str">
        <f aca="false">IF(B65="","",IFERROR(INDEX(Checklist!$E:$E,MATCH(B65,Checklist!$A:$A,0)),"ID não encontrado"))</f>
        <v/>
      </c>
      <c r="D65" s="33"/>
      <c r="E65" s="32"/>
    </row>
    <row r="66" customFormat="false" ht="15" hidden="false" customHeight="false" outlineLevel="0" collapsed="false">
      <c r="A66" s="31"/>
      <c r="B66" s="32"/>
      <c r="C66" s="8" t="str">
        <f aca="false">IF(B66="","",IFERROR(INDEX(Checklist!$E:$E,MATCH(B66,Checklist!$A:$A,0)),"ID não encontrado"))</f>
        <v/>
      </c>
      <c r="D66" s="33"/>
      <c r="E66" s="32"/>
    </row>
    <row r="67" customFormat="false" ht="15" hidden="false" customHeight="false" outlineLevel="0" collapsed="false">
      <c r="A67" s="31"/>
      <c r="B67" s="32"/>
      <c r="C67" s="8" t="str">
        <f aca="false">IF(B67="","",IFERROR(INDEX(Checklist!$E:$E,MATCH(B67,Checklist!$A:$A,0)),"ID não encontrado"))</f>
        <v/>
      </c>
      <c r="D67" s="33"/>
      <c r="E67" s="32"/>
    </row>
    <row r="68" customFormat="false" ht="15" hidden="false" customHeight="false" outlineLevel="0" collapsed="false">
      <c r="A68" s="31"/>
      <c r="B68" s="32"/>
      <c r="C68" s="8" t="str">
        <f aca="false">IF(B68="","",IFERROR(INDEX(Checklist!$E:$E,MATCH(B68,Checklist!$A:$A,0)),"ID não encontrado"))</f>
        <v/>
      </c>
      <c r="D68" s="33"/>
      <c r="E68" s="32"/>
    </row>
    <row r="69" customFormat="false" ht="15" hidden="false" customHeight="false" outlineLevel="0" collapsed="false">
      <c r="A69" s="31"/>
      <c r="B69" s="32"/>
      <c r="C69" s="8" t="str">
        <f aca="false">IF(B69="","",IFERROR(INDEX(Checklist!$E:$E,MATCH(B69,Checklist!$A:$A,0)),"ID não encontrado"))</f>
        <v/>
      </c>
      <c r="D69" s="33"/>
      <c r="E69" s="32"/>
    </row>
    <row r="70" customFormat="false" ht="15" hidden="false" customHeight="false" outlineLevel="0" collapsed="false">
      <c r="A70" s="31"/>
      <c r="B70" s="32"/>
      <c r="C70" s="8" t="str">
        <f aca="false">IF(B70="","",IFERROR(INDEX(Checklist!$E:$E,MATCH(B70,Checklist!$A:$A,0)),"ID não encontrado"))</f>
        <v/>
      </c>
      <c r="D70" s="33"/>
      <c r="E70" s="32"/>
    </row>
    <row r="71" customFormat="false" ht="15" hidden="false" customHeight="false" outlineLevel="0" collapsed="false">
      <c r="A71" s="31"/>
      <c r="B71" s="32"/>
      <c r="C71" s="8" t="str">
        <f aca="false">IF(B71="","",IFERROR(INDEX(Checklist!$E:$E,MATCH(B71,Checklist!$A:$A,0)),"ID não encontrado"))</f>
        <v/>
      </c>
      <c r="D71" s="33"/>
      <c r="E71" s="32"/>
    </row>
    <row r="72" customFormat="false" ht="15" hidden="false" customHeight="false" outlineLevel="0" collapsed="false">
      <c r="A72" s="31"/>
      <c r="B72" s="32"/>
      <c r="C72" s="8" t="str">
        <f aca="false">IF(B72="","",IFERROR(INDEX(Checklist!$E:$E,MATCH(B72,Checklist!$A:$A,0)),"ID não encontrado"))</f>
        <v/>
      </c>
      <c r="D72" s="33"/>
      <c r="E72" s="32"/>
    </row>
    <row r="73" customFormat="false" ht="15" hidden="false" customHeight="false" outlineLevel="0" collapsed="false">
      <c r="A73" s="31"/>
      <c r="B73" s="32"/>
      <c r="C73" s="8" t="str">
        <f aca="false">IF(B73="","",IFERROR(INDEX(Checklist!$E:$E,MATCH(B73,Checklist!$A:$A,0)),"ID não encontrado"))</f>
        <v/>
      </c>
      <c r="D73" s="33"/>
      <c r="E73" s="32"/>
    </row>
    <row r="74" customFormat="false" ht="15" hidden="false" customHeight="false" outlineLevel="0" collapsed="false">
      <c r="A74" s="31"/>
      <c r="B74" s="32"/>
      <c r="C74" s="8" t="str">
        <f aca="false">IF(B74="","",IFERROR(INDEX(Checklist!$E:$E,MATCH(B74,Checklist!$A:$A,0)),"ID não encontrado"))</f>
        <v/>
      </c>
      <c r="D74" s="33"/>
      <c r="E74" s="32"/>
    </row>
    <row r="75" customFormat="false" ht="15" hidden="false" customHeight="false" outlineLevel="0" collapsed="false">
      <c r="A75" s="31"/>
      <c r="B75" s="32"/>
      <c r="C75" s="8" t="str">
        <f aca="false">IF(B75="","",IFERROR(INDEX(Checklist!$E:$E,MATCH(B75,Checklist!$A:$A,0)),"ID não encontrado"))</f>
        <v/>
      </c>
      <c r="D75" s="33"/>
      <c r="E75" s="32"/>
    </row>
    <row r="76" customFormat="false" ht="15" hidden="false" customHeight="false" outlineLevel="0" collapsed="false">
      <c r="A76" s="31"/>
      <c r="B76" s="32"/>
      <c r="C76" s="8" t="str">
        <f aca="false">IF(B76="","",IFERROR(INDEX(Checklist!$E:$E,MATCH(B76,Checklist!$A:$A,0)),"ID não encontrado"))</f>
        <v/>
      </c>
      <c r="D76" s="33"/>
      <c r="E76" s="32"/>
    </row>
    <row r="77" customFormat="false" ht="15" hidden="false" customHeight="false" outlineLevel="0" collapsed="false">
      <c r="A77" s="31"/>
      <c r="B77" s="32"/>
      <c r="C77" s="8" t="str">
        <f aca="false">IF(B77="","",IFERROR(INDEX(Checklist!$E:$E,MATCH(B77,Checklist!$A:$A,0)),"ID não encontrado"))</f>
        <v/>
      </c>
      <c r="D77" s="33"/>
      <c r="E77" s="32"/>
    </row>
    <row r="78" customFormat="false" ht="15" hidden="false" customHeight="false" outlineLevel="0" collapsed="false">
      <c r="A78" s="31"/>
      <c r="B78" s="32"/>
      <c r="C78" s="8" t="str">
        <f aca="false">IF(B78="","",IFERROR(INDEX(Checklist!$E:$E,MATCH(B78,Checklist!$A:$A,0)),"ID não encontrado"))</f>
        <v/>
      </c>
      <c r="D78" s="33"/>
      <c r="E78" s="32"/>
    </row>
    <row r="79" customFormat="false" ht="15" hidden="false" customHeight="false" outlineLevel="0" collapsed="false">
      <c r="A79" s="31"/>
      <c r="B79" s="32"/>
      <c r="C79" s="8" t="str">
        <f aca="false">IF(B79="","",IFERROR(INDEX(Checklist!$E:$E,MATCH(B79,Checklist!$A:$A,0)),"ID não encontrado"))</f>
        <v/>
      </c>
      <c r="D79" s="33"/>
      <c r="E79" s="32"/>
    </row>
    <row r="80" customFormat="false" ht="15" hidden="false" customHeight="false" outlineLevel="0" collapsed="false">
      <c r="A80" s="31"/>
      <c r="B80" s="32"/>
      <c r="C80" s="8" t="str">
        <f aca="false">IF(B80="","",IFERROR(INDEX(Checklist!$E:$E,MATCH(B80,Checklist!$A:$A,0)),"ID não encontrado"))</f>
        <v/>
      </c>
      <c r="D80" s="33"/>
      <c r="E80" s="32"/>
    </row>
    <row r="81" customFormat="false" ht="15" hidden="false" customHeight="false" outlineLevel="0" collapsed="false">
      <c r="A81" s="31"/>
      <c r="B81" s="32"/>
      <c r="C81" s="8" t="str">
        <f aca="false">IF(B81="","",IFERROR(INDEX(Checklist!$E:$E,MATCH(B81,Checklist!$A:$A,0)),"ID não encontrado"))</f>
        <v/>
      </c>
      <c r="D81" s="33"/>
      <c r="E81" s="32"/>
    </row>
    <row r="82" customFormat="false" ht="15" hidden="false" customHeight="false" outlineLevel="0" collapsed="false">
      <c r="A82" s="31"/>
      <c r="B82" s="32"/>
      <c r="C82" s="8" t="str">
        <f aca="false">IF(B82="","",IFERROR(INDEX(Checklist!$E:$E,MATCH(B82,Checklist!$A:$A,0)),"ID não encontrado"))</f>
        <v/>
      </c>
      <c r="D82" s="33"/>
      <c r="E82" s="32"/>
    </row>
    <row r="83" customFormat="false" ht="15" hidden="false" customHeight="false" outlineLevel="0" collapsed="false">
      <c r="A83" s="31"/>
      <c r="B83" s="32"/>
      <c r="C83" s="8" t="str">
        <f aca="false">IF(B83="","",IFERROR(INDEX(Checklist!$E:$E,MATCH(B83,Checklist!$A:$A,0)),"ID não encontrado"))</f>
        <v/>
      </c>
      <c r="D83" s="33"/>
      <c r="E83" s="32"/>
    </row>
    <row r="84" customFormat="false" ht="15" hidden="false" customHeight="false" outlineLevel="0" collapsed="false">
      <c r="A84" s="31"/>
      <c r="B84" s="32"/>
      <c r="C84" s="8" t="str">
        <f aca="false">IF(B84="","",IFERROR(INDEX(Checklist!$E:$E,MATCH(B84,Checklist!$A:$A,0)),"ID não encontrado"))</f>
        <v/>
      </c>
      <c r="D84" s="33"/>
      <c r="E84" s="32"/>
    </row>
    <row r="85" customFormat="false" ht="15" hidden="false" customHeight="false" outlineLevel="0" collapsed="false">
      <c r="A85" s="31"/>
      <c r="B85" s="32"/>
      <c r="C85" s="8" t="str">
        <f aca="false">IF(B85="","",IFERROR(INDEX(Checklist!$E:$E,MATCH(B85,Checklist!$A:$A,0)),"ID não encontrado"))</f>
        <v/>
      </c>
      <c r="D85" s="33"/>
      <c r="E85" s="32"/>
    </row>
    <row r="86" customFormat="false" ht="15" hidden="false" customHeight="false" outlineLevel="0" collapsed="false">
      <c r="A86" s="31"/>
      <c r="B86" s="32"/>
      <c r="C86" s="8" t="str">
        <f aca="false">IF(B86="","",IFERROR(INDEX(Checklist!$E:$E,MATCH(B86,Checklist!$A:$A,0)),"ID não encontrado"))</f>
        <v/>
      </c>
      <c r="D86" s="33"/>
      <c r="E86" s="32"/>
    </row>
    <row r="87" customFormat="false" ht="15" hidden="false" customHeight="false" outlineLevel="0" collapsed="false">
      <c r="A87" s="31"/>
      <c r="B87" s="32"/>
      <c r="C87" s="8" t="str">
        <f aca="false">IF(B87="","",IFERROR(INDEX(Checklist!$E:$E,MATCH(B87,Checklist!$A:$A,0)),"ID não encontrado"))</f>
        <v/>
      </c>
      <c r="D87" s="33"/>
      <c r="E87" s="32"/>
    </row>
    <row r="88" customFormat="false" ht="15" hidden="false" customHeight="false" outlineLevel="0" collapsed="false">
      <c r="A88" s="31"/>
      <c r="B88" s="32"/>
      <c r="C88" s="8" t="str">
        <f aca="false">IF(B88="","",IFERROR(INDEX(Checklist!$E:$E,MATCH(B88,Checklist!$A:$A,0)),"ID não encontrado"))</f>
        <v/>
      </c>
      <c r="D88" s="33"/>
      <c r="E88" s="32"/>
    </row>
    <row r="89" customFormat="false" ht="15" hidden="false" customHeight="false" outlineLevel="0" collapsed="false">
      <c r="A89" s="31"/>
      <c r="B89" s="32"/>
      <c r="C89" s="8" t="str">
        <f aca="false">IF(B89="","",IFERROR(INDEX(Checklist!$E:$E,MATCH(B89,Checklist!$A:$A,0)),"ID não encontrado"))</f>
        <v/>
      </c>
      <c r="D89" s="33"/>
      <c r="E89" s="32"/>
    </row>
    <row r="90" customFormat="false" ht="15" hidden="false" customHeight="false" outlineLevel="0" collapsed="false">
      <c r="A90" s="31"/>
      <c r="B90" s="32"/>
      <c r="C90" s="8" t="str">
        <f aca="false">IF(B90="","",IFERROR(INDEX(Checklist!$E:$E,MATCH(B90,Checklist!$A:$A,0)),"ID não encontrado"))</f>
        <v/>
      </c>
      <c r="D90" s="33"/>
      <c r="E90" s="32"/>
    </row>
    <row r="91" customFormat="false" ht="15" hidden="false" customHeight="false" outlineLevel="0" collapsed="false">
      <c r="A91" s="31"/>
      <c r="B91" s="32"/>
      <c r="C91" s="8" t="str">
        <f aca="false">IF(B91="","",IFERROR(INDEX(Checklist!$E:$E,MATCH(B91,Checklist!$A:$A,0)),"ID não encontrado"))</f>
        <v/>
      </c>
      <c r="D91" s="33"/>
      <c r="E91" s="32"/>
    </row>
    <row r="92" customFormat="false" ht="15" hidden="false" customHeight="false" outlineLevel="0" collapsed="false">
      <c r="A92" s="31"/>
      <c r="B92" s="32"/>
      <c r="C92" s="8" t="str">
        <f aca="false">IF(B92="","",IFERROR(INDEX(Checklist!$E:$E,MATCH(B92,Checklist!$A:$A,0)),"ID não encontrado"))</f>
        <v/>
      </c>
      <c r="D92" s="33"/>
      <c r="E92" s="32"/>
    </row>
    <row r="93" customFormat="false" ht="15" hidden="false" customHeight="false" outlineLevel="0" collapsed="false">
      <c r="A93" s="31"/>
      <c r="B93" s="32"/>
      <c r="C93" s="8" t="str">
        <f aca="false">IF(B93="","",IFERROR(INDEX(Checklist!$E:$E,MATCH(B93,Checklist!$A:$A,0)),"ID não encontrado"))</f>
        <v/>
      </c>
      <c r="D93" s="33"/>
      <c r="E93" s="32"/>
    </row>
    <row r="94" customFormat="false" ht="15" hidden="false" customHeight="false" outlineLevel="0" collapsed="false">
      <c r="A94" s="31"/>
      <c r="B94" s="32"/>
      <c r="C94" s="8" t="str">
        <f aca="false">IF(B94="","",IFERROR(INDEX(Checklist!$E:$E,MATCH(B94,Checklist!$A:$A,0)),"ID não encontrado"))</f>
        <v/>
      </c>
      <c r="D94" s="33"/>
      <c r="E94" s="32"/>
    </row>
    <row r="95" customFormat="false" ht="15" hidden="false" customHeight="false" outlineLevel="0" collapsed="false">
      <c r="A95" s="31"/>
      <c r="B95" s="32"/>
      <c r="C95" s="8" t="str">
        <f aca="false">IF(B95="","",IFERROR(INDEX(Checklist!$E:$E,MATCH(B95,Checklist!$A:$A,0)),"ID não encontrado"))</f>
        <v/>
      </c>
      <c r="D95" s="33"/>
      <c r="E95" s="32"/>
    </row>
    <row r="96" customFormat="false" ht="15" hidden="false" customHeight="false" outlineLevel="0" collapsed="false">
      <c r="A96" s="31"/>
      <c r="B96" s="32"/>
      <c r="C96" s="8" t="str">
        <f aca="false">IF(B96="","",IFERROR(INDEX(Checklist!$E:$E,MATCH(B96,Checklist!$A:$A,0)),"ID não encontrado"))</f>
        <v/>
      </c>
      <c r="D96" s="33"/>
      <c r="E96" s="32"/>
    </row>
    <row r="97" customFormat="false" ht="15" hidden="false" customHeight="false" outlineLevel="0" collapsed="false">
      <c r="A97" s="31"/>
      <c r="B97" s="32"/>
      <c r="C97" s="8" t="str">
        <f aca="false">IF(B97="","",IFERROR(INDEX(Checklist!$E:$E,MATCH(B97,Checklist!$A:$A,0)),"ID não encontrado"))</f>
        <v/>
      </c>
      <c r="D97" s="33"/>
      <c r="E97" s="32"/>
    </row>
    <row r="98" customFormat="false" ht="15" hidden="false" customHeight="false" outlineLevel="0" collapsed="false">
      <c r="A98" s="31"/>
      <c r="B98" s="32"/>
      <c r="C98" s="8" t="str">
        <f aca="false">IF(B98="","",IFERROR(INDEX(Checklist!$E:$E,MATCH(B98,Checklist!$A:$A,0)),"ID não encontrado"))</f>
        <v/>
      </c>
      <c r="D98" s="33"/>
      <c r="E98" s="32"/>
    </row>
    <row r="99" customFormat="false" ht="15" hidden="false" customHeight="false" outlineLevel="0" collapsed="false">
      <c r="A99" s="31"/>
      <c r="B99" s="32"/>
      <c r="C99" s="8" t="str">
        <f aca="false">IF(B99="","",IFERROR(INDEX(Checklist!$E:$E,MATCH(B99,Checklist!$A:$A,0)),"ID não encontrado"))</f>
        <v/>
      </c>
      <c r="D99" s="33"/>
      <c r="E99" s="32"/>
    </row>
    <row r="100" customFormat="false" ht="15" hidden="false" customHeight="false" outlineLevel="0" collapsed="false">
      <c r="A100" s="31"/>
      <c r="B100" s="32"/>
      <c r="C100" s="8" t="str">
        <f aca="false">IF(B100="","",IFERROR(INDEX(Checklist!$E:$E,MATCH(B100,Checklist!$A:$A,0)),"ID não encontrado"))</f>
        <v/>
      </c>
      <c r="D100" s="33"/>
      <c r="E100" s="32"/>
    </row>
    <row r="101" customFormat="false" ht="15" hidden="false" customHeight="false" outlineLevel="0" collapsed="false">
      <c r="A101" s="31"/>
      <c r="B101" s="32"/>
      <c r="C101" s="8" t="str">
        <f aca="false">IF(B101="","",IFERROR(INDEX(Checklist!$E:$E,MATCH(B101,Checklist!$A:$A,0)),"ID não encontrado"))</f>
        <v/>
      </c>
      <c r="D101" s="33"/>
      <c r="E101" s="32"/>
    </row>
    <row r="102" customFormat="false" ht="15" hidden="false" customHeight="false" outlineLevel="0" collapsed="false">
      <c r="A102" s="31"/>
      <c r="B102" s="32"/>
      <c r="C102" s="8" t="str">
        <f aca="false">IF(B102="","",IFERROR(INDEX(Checklist!$E:$E,MATCH(B102,Checklist!$A:$A,0)),"ID não encontrado"))</f>
        <v/>
      </c>
      <c r="D102" s="33"/>
      <c r="E102" s="32"/>
    </row>
    <row r="103" customFormat="false" ht="15" hidden="false" customHeight="false" outlineLevel="0" collapsed="false">
      <c r="A103" s="31"/>
      <c r="B103" s="32"/>
      <c r="C103" s="8" t="str">
        <f aca="false">IF(B103="","",IFERROR(INDEX(Checklist!$E:$E,MATCH(B103,Checklist!$A:$A,0)),"ID não encontrado"))</f>
        <v/>
      </c>
      <c r="D103" s="33"/>
      <c r="E103" s="32"/>
    </row>
    <row r="104" customFormat="false" ht="15" hidden="false" customHeight="false" outlineLevel="0" collapsed="false">
      <c r="A104" s="31"/>
      <c r="B104" s="32"/>
      <c r="C104" s="8" t="str">
        <f aca="false">IF(B104="","",IFERROR(INDEX(Checklist!$E:$E,MATCH(B104,Checklist!$A:$A,0)),"ID não encontrado"))</f>
        <v/>
      </c>
      <c r="D104" s="33"/>
      <c r="E104" s="32"/>
    </row>
    <row r="105" customFormat="false" ht="15" hidden="false" customHeight="false" outlineLevel="0" collapsed="false">
      <c r="A105" s="31"/>
      <c r="B105" s="32"/>
      <c r="C105" s="8" t="str">
        <f aca="false">IF(B105="","",IFERROR(INDEX(Checklist!$E:$E,MATCH(B105,Checklist!$A:$A,0)),"ID não encontrado"))</f>
        <v/>
      </c>
      <c r="D105" s="33"/>
      <c r="E105" s="32"/>
    </row>
    <row r="106" customFormat="false" ht="15" hidden="false" customHeight="false" outlineLevel="0" collapsed="false">
      <c r="A106" s="31"/>
      <c r="B106" s="32"/>
      <c r="C106" s="8" t="str">
        <f aca="false">IF(B106="","",IFERROR(INDEX(Checklist!$E:$E,MATCH(B106,Checklist!$A:$A,0)),"ID não encontrado"))</f>
        <v/>
      </c>
      <c r="D106" s="33"/>
      <c r="E106" s="32"/>
    </row>
    <row r="107" customFormat="false" ht="15" hidden="false" customHeight="false" outlineLevel="0" collapsed="false">
      <c r="A107" s="31"/>
      <c r="B107" s="32"/>
      <c r="C107" s="8" t="str">
        <f aca="false">IF(B107="","",IFERROR(INDEX(Checklist!$E:$E,MATCH(B107,Checklist!$A:$A,0)),"ID não encontrado"))</f>
        <v/>
      </c>
      <c r="D107" s="33"/>
      <c r="E107" s="32"/>
    </row>
    <row r="108" customFormat="false" ht="15" hidden="false" customHeight="false" outlineLevel="0" collapsed="false">
      <c r="A108" s="31"/>
      <c r="B108" s="32"/>
      <c r="C108" s="8" t="str">
        <f aca="false">IF(B108="","",IFERROR(INDEX(Checklist!$E:$E,MATCH(B108,Checklist!$A:$A,0)),"ID não encontrado"))</f>
        <v/>
      </c>
      <c r="D108" s="33"/>
      <c r="E108" s="32"/>
    </row>
    <row r="109" customFormat="false" ht="15" hidden="false" customHeight="false" outlineLevel="0" collapsed="false">
      <c r="A109" s="31"/>
      <c r="B109" s="32"/>
      <c r="C109" s="8" t="str">
        <f aca="false">IF(B109="","",IFERROR(INDEX(Checklist!$E:$E,MATCH(B109,Checklist!$A:$A,0)),"ID não encontrado"))</f>
        <v/>
      </c>
      <c r="D109" s="33"/>
      <c r="E109" s="32"/>
    </row>
    <row r="110" customFormat="false" ht="15" hidden="false" customHeight="false" outlineLevel="0" collapsed="false">
      <c r="A110" s="31"/>
      <c r="B110" s="32"/>
      <c r="C110" s="8" t="str">
        <f aca="false">IF(B110="","",IFERROR(INDEX(Checklist!$E:$E,MATCH(B110,Checklist!$A:$A,0)),"ID não encontrado"))</f>
        <v/>
      </c>
      <c r="D110" s="33"/>
      <c r="E110" s="32"/>
    </row>
    <row r="111" customFormat="false" ht="15" hidden="false" customHeight="false" outlineLevel="0" collapsed="false">
      <c r="A111" s="31"/>
      <c r="B111" s="32"/>
      <c r="C111" s="8" t="str">
        <f aca="false">IF(B111="","",IFERROR(INDEX(Checklist!$E:$E,MATCH(B111,Checklist!$A:$A,0)),"ID não encontrado"))</f>
        <v/>
      </c>
      <c r="D111" s="33"/>
      <c r="E111" s="32"/>
    </row>
    <row r="112" customFormat="false" ht="15" hidden="false" customHeight="false" outlineLevel="0" collapsed="false">
      <c r="A112" s="31"/>
      <c r="B112" s="32"/>
      <c r="C112" s="8" t="str">
        <f aca="false">IF(B112="","",IFERROR(INDEX(Checklist!$E:$E,MATCH(B112,Checklist!$A:$A,0)),"ID não encontrado"))</f>
        <v/>
      </c>
      <c r="D112" s="33"/>
      <c r="E112" s="32"/>
    </row>
    <row r="113" customFormat="false" ht="15" hidden="false" customHeight="false" outlineLevel="0" collapsed="false">
      <c r="A113" s="31"/>
      <c r="B113" s="32"/>
      <c r="C113" s="8" t="str">
        <f aca="false">IF(B113="","",IFERROR(INDEX(Checklist!$E:$E,MATCH(B113,Checklist!$A:$A,0)),"ID não encontrado"))</f>
        <v/>
      </c>
      <c r="D113" s="33"/>
      <c r="E113" s="32"/>
    </row>
    <row r="114" customFormat="false" ht="15" hidden="false" customHeight="false" outlineLevel="0" collapsed="false">
      <c r="A114" s="31"/>
      <c r="B114" s="32"/>
      <c r="C114" s="8" t="str">
        <f aca="false">IF(B114="","",IFERROR(INDEX(Checklist!$E:$E,MATCH(B114,Checklist!$A:$A,0)),"ID não encontrado"))</f>
        <v/>
      </c>
      <c r="D114" s="33"/>
      <c r="E114" s="32"/>
    </row>
    <row r="115" customFormat="false" ht="15" hidden="false" customHeight="false" outlineLevel="0" collapsed="false">
      <c r="A115" s="31"/>
      <c r="B115" s="32"/>
      <c r="C115" s="8" t="str">
        <f aca="false">IF(B115="","",IFERROR(INDEX(Checklist!$E:$E,MATCH(B115,Checklist!$A:$A,0)),"ID não encontrado"))</f>
        <v/>
      </c>
      <c r="D115" s="33"/>
      <c r="E115" s="32"/>
    </row>
    <row r="116" customFormat="false" ht="15" hidden="false" customHeight="false" outlineLevel="0" collapsed="false">
      <c r="A116" s="31"/>
      <c r="B116" s="32"/>
      <c r="C116" s="8" t="str">
        <f aca="false">IF(B116="","",IFERROR(INDEX(Checklist!$E:$E,MATCH(B116,Checklist!$A:$A,0)),"ID não encontrado"))</f>
        <v/>
      </c>
      <c r="D116" s="33"/>
      <c r="E116" s="32"/>
    </row>
    <row r="117" customFormat="false" ht="15" hidden="false" customHeight="false" outlineLevel="0" collapsed="false">
      <c r="A117" s="31"/>
      <c r="B117" s="32"/>
      <c r="C117" s="8" t="str">
        <f aca="false">IF(B117="","",IFERROR(INDEX(Checklist!$E:$E,MATCH(B117,Checklist!$A:$A,0)),"ID não encontrado"))</f>
        <v/>
      </c>
      <c r="D117" s="33"/>
      <c r="E117" s="32"/>
    </row>
    <row r="118" customFormat="false" ht="15" hidden="false" customHeight="false" outlineLevel="0" collapsed="false">
      <c r="A118" s="31"/>
      <c r="B118" s="32"/>
      <c r="C118" s="8" t="str">
        <f aca="false">IF(B118="","",IFERROR(INDEX(Checklist!$E:$E,MATCH(B118,Checklist!$A:$A,0)),"ID não encontrado"))</f>
        <v/>
      </c>
      <c r="D118" s="33"/>
      <c r="E118" s="32"/>
    </row>
    <row r="119" customFormat="false" ht="15" hidden="false" customHeight="false" outlineLevel="0" collapsed="false">
      <c r="A119" s="31"/>
      <c r="B119" s="32"/>
      <c r="C119" s="8" t="str">
        <f aca="false">IF(B119="","",IFERROR(INDEX(Checklist!$E:$E,MATCH(B119,Checklist!$A:$A,0)),"ID não encontrado"))</f>
        <v/>
      </c>
      <c r="D119" s="33"/>
      <c r="E119" s="32"/>
    </row>
    <row r="120" customFormat="false" ht="15" hidden="false" customHeight="false" outlineLevel="0" collapsed="false">
      <c r="A120" s="31"/>
      <c r="B120" s="32"/>
      <c r="C120" s="8" t="str">
        <f aca="false">IF(B120="","",IFERROR(INDEX(Checklist!$E:$E,MATCH(B120,Checklist!$A:$A,0)),"ID não encontrado"))</f>
        <v/>
      </c>
      <c r="D120" s="33"/>
      <c r="E120" s="32"/>
    </row>
    <row r="121" customFormat="false" ht="15" hidden="false" customHeight="false" outlineLevel="0" collapsed="false">
      <c r="A121" s="31"/>
      <c r="B121" s="32"/>
      <c r="C121" s="8" t="str">
        <f aca="false">IF(B121="","",IFERROR(INDEX(Checklist!$E:$E,MATCH(B121,Checklist!$A:$A,0)),"ID não encontrado"))</f>
        <v/>
      </c>
      <c r="D121" s="33"/>
      <c r="E121" s="32"/>
    </row>
    <row r="122" customFormat="false" ht="15" hidden="false" customHeight="false" outlineLevel="0" collapsed="false">
      <c r="A122" s="31"/>
      <c r="B122" s="32"/>
      <c r="C122" s="8" t="str">
        <f aca="false">IF(B122="","",IFERROR(INDEX(Checklist!$E:$E,MATCH(B122,Checklist!$A:$A,0)),"ID não encontrado"))</f>
        <v/>
      </c>
      <c r="D122" s="33"/>
      <c r="E122" s="32"/>
    </row>
    <row r="123" customFormat="false" ht="15" hidden="false" customHeight="false" outlineLevel="0" collapsed="false">
      <c r="A123" s="31"/>
      <c r="B123" s="32"/>
      <c r="C123" s="8" t="str">
        <f aca="false">IF(B123="","",IFERROR(INDEX(Checklist!$E:$E,MATCH(B123,Checklist!$A:$A,0)),"ID não encontrado"))</f>
        <v/>
      </c>
      <c r="D123" s="33"/>
      <c r="E123" s="32"/>
    </row>
    <row r="124" customFormat="false" ht="15" hidden="false" customHeight="false" outlineLevel="0" collapsed="false">
      <c r="A124" s="31"/>
      <c r="B124" s="32"/>
      <c r="C124" s="8" t="str">
        <f aca="false">IF(B124="","",IFERROR(INDEX(Checklist!$E:$E,MATCH(B124,Checklist!$A:$A,0)),"ID não encontrado"))</f>
        <v/>
      </c>
      <c r="D124" s="33"/>
      <c r="E124" s="32"/>
    </row>
    <row r="125" customFormat="false" ht="15" hidden="false" customHeight="false" outlineLevel="0" collapsed="false">
      <c r="A125" s="31"/>
      <c r="B125" s="32"/>
      <c r="C125" s="8" t="str">
        <f aca="false">IF(B125="","",IFERROR(INDEX(Checklist!$E:$E,MATCH(B125,Checklist!$A:$A,0)),"ID não encontrado"))</f>
        <v/>
      </c>
      <c r="D125" s="33"/>
      <c r="E125" s="32"/>
    </row>
    <row r="126" customFormat="false" ht="15" hidden="false" customHeight="false" outlineLevel="0" collapsed="false">
      <c r="A126" s="31"/>
      <c r="B126" s="32"/>
      <c r="C126" s="8" t="str">
        <f aca="false">IF(B126="","",IFERROR(INDEX(Checklist!$E:$E,MATCH(B126,Checklist!$A:$A,0)),"ID não encontrado"))</f>
        <v/>
      </c>
      <c r="D126" s="33"/>
      <c r="E126" s="32"/>
    </row>
    <row r="127" customFormat="false" ht="15" hidden="false" customHeight="false" outlineLevel="0" collapsed="false">
      <c r="A127" s="31"/>
      <c r="B127" s="32"/>
      <c r="C127" s="8" t="str">
        <f aca="false">IF(B127="","",IFERROR(INDEX(Checklist!$E:$E,MATCH(B127,Checklist!$A:$A,0)),"ID não encontrado"))</f>
        <v/>
      </c>
      <c r="D127" s="33"/>
      <c r="E127" s="32"/>
    </row>
    <row r="128" customFormat="false" ht="15" hidden="false" customHeight="false" outlineLevel="0" collapsed="false">
      <c r="A128" s="31"/>
      <c r="B128" s="32"/>
      <c r="C128" s="8" t="str">
        <f aca="false">IF(B128="","",IFERROR(INDEX(Checklist!$E:$E,MATCH(B128,Checklist!$A:$A,0)),"ID não encontrado"))</f>
        <v/>
      </c>
      <c r="D128" s="33"/>
      <c r="E128" s="32"/>
    </row>
    <row r="129" customFormat="false" ht="15" hidden="false" customHeight="false" outlineLevel="0" collapsed="false">
      <c r="A129" s="31"/>
      <c r="B129" s="32"/>
      <c r="C129" s="8" t="str">
        <f aca="false">IF(B129="","",IFERROR(INDEX(Checklist!$E:$E,MATCH(B129,Checklist!$A:$A,0)),"ID não encontrado"))</f>
        <v/>
      </c>
      <c r="D129" s="33"/>
      <c r="E129" s="32"/>
    </row>
    <row r="130" customFormat="false" ht="15" hidden="false" customHeight="false" outlineLevel="0" collapsed="false">
      <c r="A130" s="31"/>
      <c r="B130" s="32"/>
      <c r="C130" s="8" t="str">
        <f aca="false">IF(B130="","",IFERROR(INDEX(Checklist!$E:$E,MATCH(B130,Checklist!$A:$A,0)),"ID não encontrado"))</f>
        <v/>
      </c>
      <c r="D130" s="33"/>
      <c r="E130" s="32"/>
    </row>
    <row r="131" customFormat="false" ht="15" hidden="false" customHeight="false" outlineLevel="0" collapsed="false">
      <c r="A131" s="31"/>
      <c r="B131" s="32"/>
      <c r="C131" s="8" t="str">
        <f aca="false">IF(B131="","",IFERROR(INDEX(Checklist!$E:$E,MATCH(B131,Checklist!$A:$A,0)),"ID não encontrado"))</f>
        <v/>
      </c>
      <c r="D131" s="33"/>
      <c r="E131" s="32"/>
    </row>
    <row r="132" customFormat="false" ht="15" hidden="false" customHeight="false" outlineLevel="0" collapsed="false">
      <c r="A132" s="31"/>
      <c r="B132" s="32"/>
      <c r="C132" s="8" t="str">
        <f aca="false">IF(B132="","",IFERROR(INDEX(Checklist!$E:$E,MATCH(B132,Checklist!$A:$A,0)),"ID não encontrado"))</f>
        <v/>
      </c>
      <c r="D132" s="33"/>
      <c r="E132" s="32"/>
    </row>
    <row r="133" customFormat="false" ht="15" hidden="false" customHeight="false" outlineLevel="0" collapsed="false">
      <c r="A133" s="31"/>
      <c r="B133" s="32"/>
      <c r="C133" s="8" t="str">
        <f aca="false">IF(B133="","",IFERROR(INDEX(Checklist!$E:$E,MATCH(B133,Checklist!$A:$A,0)),"ID não encontrado"))</f>
        <v/>
      </c>
      <c r="D133" s="33"/>
      <c r="E133" s="32"/>
    </row>
    <row r="134" customFormat="false" ht="15" hidden="false" customHeight="false" outlineLevel="0" collapsed="false">
      <c r="A134" s="31"/>
      <c r="B134" s="32"/>
      <c r="C134" s="8" t="str">
        <f aca="false">IF(B134="","",IFERROR(INDEX(Checklist!$E:$E,MATCH(B134,Checklist!$A:$A,0)),"ID não encontrado"))</f>
        <v/>
      </c>
      <c r="D134" s="33"/>
      <c r="E134" s="32"/>
    </row>
    <row r="135" customFormat="false" ht="15" hidden="false" customHeight="false" outlineLevel="0" collapsed="false">
      <c r="A135" s="31"/>
      <c r="B135" s="32"/>
      <c r="C135" s="8" t="str">
        <f aca="false">IF(B135="","",IFERROR(INDEX(Checklist!$E:$E,MATCH(B135,Checklist!$A:$A,0)),"ID não encontrado"))</f>
        <v/>
      </c>
      <c r="D135" s="33"/>
      <c r="E135" s="32"/>
    </row>
    <row r="136" customFormat="false" ht="15" hidden="false" customHeight="false" outlineLevel="0" collapsed="false">
      <c r="A136" s="31"/>
      <c r="B136" s="32"/>
      <c r="C136" s="8" t="str">
        <f aca="false">IF(B136="","",IFERROR(INDEX(Checklist!$E:$E,MATCH(B136,Checklist!$A:$A,0)),"ID não encontrado"))</f>
        <v/>
      </c>
      <c r="D136" s="33"/>
      <c r="E136" s="32"/>
    </row>
    <row r="137" customFormat="false" ht="15" hidden="false" customHeight="false" outlineLevel="0" collapsed="false">
      <c r="A137" s="31"/>
      <c r="B137" s="32"/>
      <c r="C137" s="8" t="str">
        <f aca="false">IF(B137="","",IFERROR(INDEX(Checklist!$E:$E,MATCH(B137,Checklist!$A:$A,0)),"ID não encontrado"))</f>
        <v/>
      </c>
      <c r="D137" s="33"/>
      <c r="E137" s="32"/>
    </row>
    <row r="138" customFormat="false" ht="15" hidden="false" customHeight="false" outlineLevel="0" collapsed="false">
      <c r="A138" s="31"/>
      <c r="B138" s="32"/>
      <c r="C138" s="8" t="str">
        <f aca="false">IF(B138="","",IFERROR(INDEX(Checklist!$E:$E,MATCH(B138,Checklist!$A:$A,0)),"ID não encontrado"))</f>
        <v/>
      </c>
      <c r="D138" s="33"/>
      <c r="E138" s="32"/>
    </row>
    <row r="139" customFormat="false" ht="15" hidden="false" customHeight="false" outlineLevel="0" collapsed="false">
      <c r="A139" s="31"/>
      <c r="B139" s="32"/>
      <c r="C139" s="8" t="str">
        <f aca="false">IF(B139="","",IFERROR(INDEX(Checklist!$E:$E,MATCH(B139,Checklist!$A:$A,0)),"ID não encontrado"))</f>
        <v/>
      </c>
      <c r="D139" s="33"/>
      <c r="E139" s="32"/>
    </row>
    <row r="140" customFormat="false" ht="15" hidden="false" customHeight="false" outlineLevel="0" collapsed="false">
      <c r="A140" s="31"/>
      <c r="B140" s="32"/>
      <c r="C140" s="8" t="str">
        <f aca="false">IF(B140="","",IFERROR(INDEX(Checklist!$E:$E,MATCH(B140,Checklist!$A:$A,0)),"ID não encontrado"))</f>
        <v/>
      </c>
      <c r="D140" s="33"/>
      <c r="E140" s="32"/>
    </row>
    <row r="141" customFormat="false" ht="15" hidden="false" customHeight="false" outlineLevel="0" collapsed="false">
      <c r="A141" s="31"/>
      <c r="B141" s="32"/>
      <c r="C141" s="8" t="str">
        <f aca="false">IF(B141="","",IFERROR(INDEX(Checklist!$E:$E,MATCH(B141,Checklist!$A:$A,0)),"ID não encontrado"))</f>
        <v/>
      </c>
      <c r="D141" s="33"/>
      <c r="E141" s="32"/>
    </row>
    <row r="142" customFormat="false" ht="15" hidden="false" customHeight="false" outlineLevel="0" collapsed="false">
      <c r="A142" s="31"/>
      <c r="B142" s="32"/>
      <c r="C142" s="8" t="str">
        <f aca="false">IF(B142="","",IFERROR(INDEX(Checklist!$E:$E,MATCH(B142,Checklist!$A:$A,0)),"ID não encontrado"))</f>
        <v/>
      </c>
      <c r="D142" s="33"/>
      <c r="E142" s="32"/>
    </row>
    <row r="143" customFormat="false" ht="15" hidden="false" customHeight="false" outlineLevel="0" collapsed="false">
      <c r="A143" s="31"/>
      <c r="B143" s="32"/>
      <c r="C143" s="8" t="str">
        <f aca="false">IF(B143="","",IFERROR(INDEX(Checklist!$E:$E,MATCH(B143,Checklist!$A:$A,0)),"ID não encontrado"))</f>
        <v/>
      </c>
      <c r="D143" s="33"/>
      <c r="E143" s="32"/>
    </row>
    <row r="144" customFormat="false" ht="15" hidden="false" customHeight="false" outlineLevel="0" collapsed="false">
      <c r="A144" s="31"/>
      <c r="B144" s="32"/>
      <c r="C144" s="8" t="str">
        <f aca="false">IF(B144="","",IFERROR(INDEX(Checklist!$E:$E,MATCH(B144,Checklist!$A:$A,0)),"ID não encontrado"))</f>
        <v/>
      </c>
      <c r="D144" s="33"/>
      <c r="E144" s="32"/>
    </row>
    <row r="145" customFormat="false" ht="15" hidden="false" customHeight="false" outlineLevel="0" collapsed="false">
      <c r="A145" s="31"/>
      <c r="B145" s="32"/>
      <c r="C145" s="8" t="str">
        <f aca="false">IF(B145="","",IFERROR(INDEX(Checklist!$E:$E,MATCH(B145,Checklist!$A:$A,0)),"ID não encontrado"))</f>
        <v/>
      </c>
      <c r="D145" s="33"/>
      <c r="E145" s="32"/>
    </row>
    <row r="146" customFormat="false" ht="15" hidden="false" customHeight="false" outlineLevel="0" collapsed="false">
      <c r="A146" s="31"/>
      <c r="B146" s="32"/>
      <c r="C146" s="8" t="str">
        <f aca="false">IF(B146="","",IFERROR(INDEX(Checklist!$E:$E,MATCH(B146,Checklist!$A:$A,0)),"ID não encontrado"))</f>
        <v/>
      </c>
      <c r="D146" s="33"/>
      <c r="E146" s="32"/>
    </row>
    <row r="147" customFormat="false" ht="15" hidden="false" customHeight="false" outlineLevel="0" collapsed="false">
      <c r="A147" s="31"/>
      <c r="B147" s="32"/>
      <c r="C147" s="8" t="str">
        <f aca="false">IF(B147="","",IFERROR(INDEX(Checklist!$E:$E,MATCH(B147,Checklist!$A:$A,0)),"ID não encontrado"))</f>
        <v/>
      </c>
      <c r="D147" s="33"/>
      <c r="E147" s="32"/>
    </row>
    <row r="148" customFormat="false" ht="15" hidden="false" customHeight="false" outlineLevel="0" collapsed="false">
      <c r="A148" s="31"/>
      <c r="B148" s="32"/>
      <c r="C148" s="8" t="str">
        <f aca="false">IF(B148="","",IFERROR(INDEX(Checklist!$E:$E,MATCH(B148,Checklist!$A:$A,0)),"ID não encontrado"))</f>
        <v/>
      </c>
      <c r="D148" s="33"/>
      <c r="E148" s="32"/>
    </row>
    <row r="149" customFormat="false" ht="15" hidden="false" customHeight="false" outlineLevel="0" collapsed="false">
      <c r="A149" s="31"/>
      <c r="B149" s="32"/>
      <c r="C149" s="8" t="str">
        <f aca="false">IF(B149="","",IFERROR(INDEX(Checklist!$E:$E,MATCH(B149,Checklist!$A:$A,0)),"ID não encontrado"))</f>
        <v/>
      </c>
      <c r="D149" s="33"/>
      <c r="E149" s="32"/>
    </row>
    <row r="150" customFormat="false" ht="15" hidden="false" customHeight="false" outlineLevel="0" collapsed="false">
      <c r="A150" s="31"/>
      <c r="B150" s="32"/>
      <c r="C150" s="8" t="str">
        <f aca="false">IF(B150="","",IFERROR(INDEX(Checklist!$E:$E,MATCH(B150,Checklist!$A:$A,0)),"ID não encontrado"))</f>
        <v/>
      </c>
      <c r="D150" s="33"/>
      <c r="E150" s="32"/>
    </row>
    <row r="151" customFormat="false" ht="15" hidden="false" customHeight="false" outlineLevel="0" collapsed="false">
      <c r="A151" s="31"/>
      <c r="B151" s="32"/>
      <c r="C151" s="8" t="str">
        <f aca="false">IF(B151="","",IFERROR(INDEX(Checklist!$E:$E,MATCH(B151,Checklist!$A:$A,0)),"ID não encontrado"))</f>
        <v/>
      </c>
      <c r="D151" s="33"/>
      <c r="E151" s="32"/>
    </row>
    <row r="152" customFormat="false" ht="15" hidden="false" customHeight="false" outlineLevel="0" collapsed="false">
      <c r="A152" s="31"/>
      <c r="B152" s="32"/>
      <c r="C152" s="8" t="str">
        <f aca="false">IF(B152="","",IFERROR(INDEX(Checklist!$E:$E,MATCH(B152,Checklist!$A:$A,0)),"ID não encontrado"))</f>
        <v/>
      </c>
      <c r="D152" s="33"/>
      <c r="E152" s="32"/>
    </row>
    <row r="153" customFormat="false" ht="15" hidden="false" customHeight="false" outlineLevel="0" collapsed="false">
      <c r="A153" s="31"/>
      <c r="B153" s="32"/>
      <c r="C153" s="8" t="str">
        <f aca="false">IF(B153="","",IFERROR(INDEX(Checklist!$E:$E,MATCH(B153,Checklist!$A:$A,0)),"ID não encontrado"))</f>
        <v/>
      </c>
      <c r="D153" s="33"/>
      <c r="E153" s="32"/>
    </row>
    <row r="154" customFormat="false" ht="15" hidden="false" customHeight="false" outlineLevel="0" collapsed="false">
      <c r="A154" s="31"/>
      <c r="B154" s="32"/>
      <c r="C154" s="8" t="str">
        <f aca="false">IF(B154="","",IFERROR(INDEX(Checklist!$E:$E,MATCH(B154,Checklist!$A:$A,0)),"ID não encontrado"))</f>
        <v/>
      </c>
      <c r="D154" s="33"/>
      <c r="E154" s="32"/>
    </row>
    <row r="155" customFormat="false" ht="15" hidden="false" customHeight="false" outlineLevel="0" collapsed="false">
      <c r="A155" s="31"/>
      <c r="B155" s="32"/>
      <c r="C155" s="8" t="str">
        <f aca="false">IF(B155="","",IFERROR(INDEX(Checklist!$E:$E,MATCH(B155,Checklist!$A:$A,0)),"ID não encontrado"))</f>
        <v/>
      </c>
      <c r="D155" s="33"/>
      <c r="E155" s="32"/>
    </row>
    <row r="156" customFormat="false" ht="15" hidden="false" customHeight="false" outlineLevel="0" collapsed="false">
      <c r="A156" s="31"/>
      <c r="B156" s="32"/>
      <c r="C156" s="8" t="str">
        <f aca="false">IF(B156="","",IFERROR(INDEX(Checklist!$E:$E,MATCH(B156,Checklist!$A:$A,0)),"ID não encontrado"))</f>
        <v/>
      </c>
      <c r="D156" s="33"/>
      <c r="E156" s="32"/>
    </row>
    <row r="157" customFormat="false" ht="15" hidden="false" customHeight="false" outlineLevel="0" collapsed="false">
      <c r="A157" s="31"/>
      <c r="B157" s="32"/>
      <c r="C157" s="8" t="str">
        <f aca="false">IF(B157="","",IFERROR(INDEX(Checklist!$E:$E,MATCH(B157,Checklist!$A:$A,0)),"ID não encontrado"))</f>
        <v/>
      </c>
      <c r="D157" s="33"/>
      <c r="E157" s="32"/>
    </row>
    <row r="158" customFormat="false" ht="15" hidden="false" customHeight="false" outlineLevel="0" collapsed="false">
      <c r="A158" s="31"/>
      <c r="B158" s="32"/>
      <c r="C158" s="8" t="str">
        <f aca="false">IF(B158="","",IFERROR(INDEX(Checklist!$E:$E,MATCH(B158,Checklist!$A:$A,0)),"ID não encontrado"))</f>
        <v/>
      </c>
      <c r="D158" s="33"/>
      <c r="E158" s="32"/>
    </row>
    <row r="159" customFormat="false" ht="15" hidden="false" customHeight="false" outlineLevel="0" collapsed="false">
      <c r="A159" s="31"/>
      <c r="B159" s="32"/>
      <c r="C159" s="8" t="str">
        <f aca="false">IF(B159="","",IFERROR(INDEX(Checklist!$E:$E,MATCH(B159,Checklist!$A:$A,0)),"ID não encontrado"))</f>
        <v/>
      </c>
      <c r="D159" s="33"/>
      <c r="E159" s="32"/>
    </row>
    <row r="160" customFormat="false" ht="15" hidden="false" customHeight="false" outlineLevel="0" collapsed="false">
      <c r="A160" s="31"/>
      <c r="B160" s="32"/>
      <c r="C160" s="8" t="str">
        <f aca="false">IF(B160="","",IFERROR(INDEX(Checklist!$E:$E,MATCH(B160,Checklist!$A:$A,0)),"ID não encontrado"))</f>
        <v/>
      </c>
      <c r="D160" s="33"/>
      <c r="E160" s="32"/>
    </row>
    <row r="161" customFormat="false" ht="15" hidden="false" customHeight="false" outlineLevel="0" collapsed="false">
      <c r="A161" s="31"/>
      <c r="B161" s="32"/>
      <c r="C161" s="8" t="str">
        <f aca="false">IF(B161="","",IFERROR(INDEX(Checklist!$E:$E,MATCH(B161,Checklist!$A:$A,0)),"ID não encontrado"))</f>
        <v/>
      </c>
      <c r="D161" s="33"/>
      <c r="E161" s="32"/>
    </row>
    <row r="162" customFormat="false" ht="15" hidden="false" customHeight="false" outlineLevel="0" collapsed="false">
      <c r="A162" s="31"/>
      <c r="B162" s="32"/>
      <c r="C162" s="8" t="str">
        <f aca="false">IF(B162="","",IFERROR(INDEX(Checklist!$E:$E,MATCH(B162,Checklist!$A:$A,0)),"ID não encontrado"))</f>
        <v/>
      </c>
      <c r="D162" s="33"/>
      <c r="E162" s="32"/>
    </row>
    <row r="163" customFormat="false" ht="15" hidden="false" customHeight="false" outlineLevel="0" collapsed="false">
      <c r="A163" s="31"/>
      <c r="B163" s="32"/>
      <c r="C163" s="8" t="str">
        <f aca="false">IF(B163="","",IFERROR(INDEX(Checklist!$E:$E,MATCH(B163,Checklist!$A:$A,0)),"ID não encontrado"))</f>
        <v/>
      </c>
      <c r="D163" s="33"/>
      <c r="E163" s="32"/>
    </row>
    <row r="164" customFormat="false" ht="15" hidden="false" customHeight="false" outlineLevel="0" collapsed="false">
      <c r="A164" s="31"/>
      <c r="B164" s="32"/>
      <c r="C164" s="8" t="str">
        <f aca="false">IF(B164="","",IFERROR(INDEX(Checklist!$E:$E,MATCH(B164,Checklist!$A:$A,0)),"ID não encontrado"))</f>
        <v/>
      </c>
      <c r="D164" s="33"/>
      <c r="E164" s="32"/>
    </row>
    <row r="165" customFormat="false" ht="15" hidden="false" customHeight="false" outlineLevel="0" collapsed="false">
      <c r="A165" s="31"/>
      <c r="B165" s="32"/>
      <c r="C165" s="8" t="str">
        <f aca="false">IF(B165="","",IFERROR(INDEX(Checklist!$E:$E,MATCH(B165,Checklist!$A:$A,0)),"ID não encontrado"))</f>
        <v/>
      </c>
      <c r="D165" s="33"/>
      <c r="E165" s="32"/>
    </row>
    <row r="166" customFormat="false" ht="15" hidden="false" customHeight="false" outlineLevel="0" collapsed="false">
      <c r="A166" s="31"/>
      <c r="B166" s="32"/>
      <c r="C166" s="8" t="str">
        <f aca="false">IF(B166="","",IFERROR(INDEX(Checklist!$E:$E,MATCH(B166,Checklist!$A:$A,0)),"ID não encontrado"))</f>
        <v/>
      </c>
      <c r="D166" s="33"/>
      <c r="E166" s="32"/>
    </row>
    <row r="167" customFormat="false" ht="15" hidden="false" customHeight="false" outlineLevel="0" collapsed="false">
      <c r="A167" s="31"/>
      <c r="B167" s="32"/>
      <c r="C167" s="8" t="str">
        <f aca="false">IF(B167="","",IFERROR(INDEX(Checklist!$E:$E,MATCH(B167,Checklist!$A:$A,0)),"ID não encontrado"))</f>
        <v/>
      </c>
      <c r="D167" s="33"/>
      <c r="E167" s="32"/>
    </row>
    <row r="168" customFormat="false" ht="15" hidden="false" customHeight="false" outlineLevel="0" collapsed="false">
      <c r="A168" s="31"/>
      <c r="B168" s="32"/>
      <c r="C168" s="8" t="str">
        <f aca="false">IF(B168="","",IFERROR(INDEX(Checklist!$E:$E,MATCH(B168,Checklist!$A:$A,0)),"ID não encontrado"))</f>
        <v/>
      </c>
      <c r="D168" s="33"/>
      <c r="E168" s="32"/>
    </row>
    <row r="169" customFormat="false" ht="15" hidden="false" customHeight="false" outlineLevel="0" collapsed="false">
      <c r="A169" s="31"/>
      <c r="B169" s="32"/>
      <c r="C169" s="8" t="str">
        <f aca="false">IF(B169="","",IFERROR(INDEX(Checklist!$E:$E,MATCH(B169,Checklist!$A:$A,0)),"ID não encontrado"))</f>
        <v/>
      </c>
      <c r="D169" s="33"/>
      <c r="E169" s="32"/>
    </row>
    <row r="170" customFormat="false" ht="15" hidden="false" customHeight="false" outlineLevel="0" collapsed="false">
      <c r="A170" s="31"/>
      <c r="B170" s="32"/>
      <c r="C170" s="8" t="str">
        <f aca="false">IF(B170="","",IFERROR(INDEX(Checklist!$E:$E,MATCH(B170,Checklist!$A:$A,0)),"ID não encontrado"))</f>
        <v/>
      </c>
      <c r="D170" s="33"/>
      <c r="E170" s="32"/>
    </row>
    <row r="171" customFormat="false" ht="15" hidden="false" customHeight="false" outlineLevel="0" collapsed="false">
      <c r="A171" s="31"/>
      <c r="B171" s="32"/>
      <c r="C171" s="8" t="str">
        <f aca="false">IF(B171="","",IFERROR(INDEX(Checklist!$E:$E,MATCH(B171,Checklist!$A:$A,0)),"ID não encontrado"))</f>
        <v/>
      </c>
      <c r="D171" s="33"/>
      <c r="E171" s="32"/>
    </row>
    <row r="172" customFormat="false" ht="15" hidden="false" customHeight="false" outlineLevel="0" collapsed="false">
      <c r="A172" s="31"/>
      <c r="B172" s="32"/>
      <c r="C172" s="8" t="str">
        <f aca="false">IF(B172="","",IFERROR(INDEX(Checklist!$E:$E,MATCH(B172,Checklist!$A:$A,0)),"ID não encontrado"))</f>
        <v/>
      </c>
      <c r="D172" s="33"/>
      <c r="E172" s="32"/>
    </row>
    <row r="173" customFormat="false" ht="15" hidden="false" customHeight="false" outlineLevel="0" collapsed="false">
      <c r="A173" s="31"/>
      <c r="B173" s="32"/>
      <c r="C173" s="8" t="str">
        <f aca="false">IF(B173="","",IFERROR(INDEX(Checklist!$E:$E,MATCH(B173,Checklist!$A:$A,0)),"ID não encontrado"))</f>
        <v/>
      </c>
      <c r="D173" s="33"/>
      <c r="E173" s="32"/>
    </row>
    <row r="174" customFormat="false" ht="15" hidden="false" customHeight="false" outlineLevel="0" collapsed="false">
      <c r="A174" s="31"/>
      <c r="B174" s="32"/>
      <c r="C174" s="8" t="str">
        <f aca="false">IF(B174="","",IFERROR(INDEX(Checklist!$E:$E,MATCH(B174,Checklist!$A:$A,0)),"ID não encontrado"))</f>
        <v/>
      </c>
      <c r="D174" s="33"/>
      <c r="E174" s="32"/>
    </row>
    <row r="175" customFormat="false" ht="15" hidden="false" customHeight="false" outlineLevel="0" collapsed="false">
      <c r="A175" s="31"/>
      <c r="B175" s="32"/>
      <c r="C175" s="8" t="str">
        <f aca="false">IF(B175="","",IFERROR(INDEX(Checklist!$E:$E,MATCH(B175,Checklist!$A:$A,0)),"ID não encontrado"))</f>
        <v/>
      </c>
      <c r="D175" s="33"/>
      <c r="E175" s="32"/>
    </row>
    <row r="176" customFormat="false" ht="15" hidden="false" customHeight="false" outlineLevel="0" collapsed="false">
      <c r="A176" s="31"/>
      <c r="B176" s="32"/>
      <c r="C176" s="8" t="str">
        <f aca="false">IF(B176="","",IFERROR(INDEX(Checklist!$E:$E,MATCH(B176,Checklist!$A:$A,0)),"ID não encontrado"))</f>
        <v/>
      </c>
      <c r="D176" s="33"/>
      <c r="E176" s="32"/>
    </row>
    <row r="177" customFormat="false" ht="15" hidden="false" customHeight="false" outlineLevel="0" collapsed="false">
      <c r="A177" s="31"/>
      <c r="B177" s="32"/>
      <c r="C177" s="8" t="str">
        <f aca="false">IF(B177="","",IFERROR(INDEX(Checklist!$E:$E,MATCH(B177,Checklist!$A:$A,0)),"ID não encontrado"))</f>
        <v/>
      </c>
      <c r="D177" s="33"/>
      <c r="E177" s="32"/>
    </row>
    <row r="178" customFormat="false" ht="15" hidden="false" customHeight="false" outlineLevel="0" collapsed="false">
      <c r="A178" s="31"/>
      <c r="B178" s="32"/>
      <c r="C178" s="8" t="str">
        <f aca="false">IF(B178="","",IFERROR(INDEX(Checklist!$E:$E,MATCH(B178,Checklist!$A:$A,0)),"ID não encontrado"))</f>
        <v/>
      </c>
      <c r="D178" s="33"/>
      <c r="E178" s="32"/>
    </row>
    <row r="179" customFormat="false" ht="15" hidden="false" customHeight="false" outlineLevel="0" collapsed="false">
      <c r="A179" s="31"/>
      <c r="B179" s="32"/>
      <c r="C179" s="8" t="str">
        <f aca="false">IF(B179="","",IFERROR(INDEX(Checklist!$E:$E,MATCH(B179,Checklist!$A:$A,0)),"ID não encontrado"))</f>
        <v/>
      </c>
      <c r="D179" s="33"/>
      <c r="E179" s="32"/>
    </row>
    <row r="180" customFormat="false" ht="15" hidden="false" customHeight="false" outlineLevel="0" collapsed="false">
      <c r="A180" s="31"/>
      <c r="B180" s="32"/>
      <c r="C180" s="8" t="str">
        <f aca="false">IF(B180="","",IFERROR(INDEX(Checklist!$E:$E,MATCH(B180,Checklist!$A:$A,0)),"ID não encontrado"))</f>
        <v/>
      </c>
      <c r="D180" s="33"/>
      <c r="E180" s="32"/>
    </row>
    <row r="181" customFormat="false" ht="15" hidden="false" customHeight="false" outlineLevel="0" collapsed="false">
      <c r="A181" s="31"/>
      <c r="B181" s="32"/>
      <c r="C181" s="8" t="str">
        <f aca="false">IF(B181="","",IFERROR(INDEX(Checklist!$E:$E,MATCH(B181,Checklist!$A:$A,0)),"ID não encontrado"))</f>
        <v/>
      </c>
      <c r="D181" s="33"/>
      <c r="E181" s="32"/>
    </row>
    <row r="182" customFormat="false" ht="15" hidden="false" customHeight="false" outlineLevel="0" collapsed="false">
      <c r="A182" s="31"/>
      <c r="B182" s="32"/>
      <c r="C182" s="8" t="str">
        <f aca="false">IF(B182="","",IFERROR(INDEX(Checklist!$E:$E,MATCH(B182,Checklist!$A:$A,0)),"ID não encontrado"))</f>
        <v/>
      </c>
      <c r="D182" s="33"/>
      <c r="E182" s="32"/>
    </row>
    <row r="183" customFormat="false" ht="15" hidden="false" customHeight="false" outlineLevel="0" collapsed="false">
      <c r="A183" s="31"/>
      <c r="B183" s="32"/>
      <c r="C183" s="8" t="str">
        <f aca="false">IF(B183="","",IFERROR(INDEX(Checklist!$E:$E,MATCH(B183,Checklist!$A:$A,0)),"ID não encontrado"))</f>
        <v/>
      </c>
      <c r="D183" s="33"/>
      <c r="E183" s="32"/>
    </row>
    <row r="184" customFormat="false" ht="15" hidden="false" customHeight="false" outlineLevel="0" collapsed="false">
      <c r="A184" s="31"/>
      <c r="B184" s="32"/>
      <c r="C184" s="8" t="str">
        <f aca="false">IF(B184="","",IFERROR(INDEX(Checklist!$E:$E,MATCH(B184,Checklist!$A:$A,0)),"ID não encontrado"))</f>
        <v/>
      </c>
      <c r="D184" s="33"/>
      <c r="E184" s="32"/>
    </row>
    <row r="185" customFormat="false" ht="15" hidden="false" customHeight="false" outlineLevel="0" collapsed="false">
      <c r="A185" s="31"/>
      <c r="B185" s="32"/>
      <c r="C185" s="8" t="str">
        <f aca="false">IF(B185="","",IFERROR(INDEX(Checklist!$E:$E,MATCH(B185,Checklist!$A:$A,0)),"ID não encontrado"))</f>
        <v/>
      </c>
      <c r="D185" s="33"/>
      <c r="E185" s="32"/>
    </row>
    <row r="186" customFormat="false" ht="15" hidden="false" customHeight="false" outlineLevel="0" collapsed="false">
      <c r="A186" s="31"/>
      <c r="B186" s="32"/>
      <c r="C186" s="8" t="str">
        <f aca="false">IF(B186="","",IFERROR(INDEX(Checklist!$E:$E,MATCH(B186,Checklist!$A:$A,0)),"ID não encontrado"))</f>
        <v/>
      </c>
      <c r="D186" s="33"/>
      <c r="E186" s="32"/>
    </row>
    <row r="187" customFormat="false" ht="15" hidden="false" customHeight="false" outlineLevel="0" collapsed="false">
      <c r="A187" s="31"/>
      <c r="B187" s="32"/>
      <c r="C187" s="8" t="str">
        <f aca="false">IF(B187="","",IFERROR(INDEX(Checklist!$E:$E,MATCH(B187,Checklist!$A:$A,0)),"ID não encontrado"))</f>
        <v/>
      </c>
      <c r="D187" s="33"/>
      <c r="E187" s="32"/>
    </row>
    <row r="188" customFormat="false" ht="15" hidden="false" customHeight="false" outlineLevel="0" collapsed="false">
      <c r="A188" s="31"/>
      <c r="B188" s="32"/>
      <c r="C188" s="8" t="str">
        <f aca="false">IF(B188="","",IFERROR(INDEX(Checklist!$E:$E,MATCH(B188,Checklist!$A:$A,0)),"ID não encontrado"))</f>
        <v/>
      </c>
      <c r="D188" s="33"/>
      <c r="E188" s="32"/>
    </row>
    <row r="189" customFormat="false" ht="15" hidden="false" customHeight="false" outlineLevel="0" collapsed="false">
      <c r="A189" s="31"/>
      <c r="B189" s="32"/>
      <c r="C189" s="8" t="str">
        <f aca="false">IF(B189="","",IFERROR(INDEX(Checklist!$E:$E,MATCH(B189,Checklist!$A:$A,0)),"ID não encontrado"))</f>
        <v/>
      </c>
      <c r="D189" s="33"/>
      <c r="E189" s="32"/>
    </row>
    <row r="190" customFormat="false" ht="15" hidden="false" customHeight="false" outlineLevel="0" collapsed="false">
      <c r="A190" s="31"/>
      <c r="B190" s="32"/>
      <c r="C190" s="8" t="str">
        <f aca="false">IF(B190="","",IFERROR(INDEX(Checklist!$E:$E,MATCH(B190,Checklist!$A:$A,0)),"ID não encontrado"))</f>
        <v/>
      </c>
      <c r="D190" s="33"/>
      <c r="E190" s="32"/>
    </row>
    <row r="191" customFormat="false" ht="15" hidden="false" customHeight="false" outlineLevel="0" collapsed="false">
      <c r="A191" s="31"/>
      <c r="B191" s="32"/>
      <c r="C191" s="8" t="str">
        <f aca="false">IF(B191="","",IFERROR(INDEX(Checklist!$E:$E,MATCH(B191,Checklist!$A:$A,0)),"ID não encontrado"))</f>
        <v/>
      </c>
      <c r="D191" s="33"/>
      <c r="E191" s="32"/>
    </row>
    <row r="192" customFormat="false" ht="15" hidden="false" customHeight="false" outlineLevel="0" collapsed="false">
      <c r="A192" s="31"/>
      <c r="B192" s="32"/>
      <c r="C192" s="8" t="str">
        <f aca="false">IF(B192="","",IFERROR(INDEX(Checklist!$E:$E,MATCH(B192,Checklist!$A:$A,0)),"ID não encontrado"))</f>
        <v/>
      </c>
      <c r="D192" s="33"/>
      <c r="E192" s="32"/>
    </row>
    <row r="193" customFormat="false" ht="15" hidden="false" customHeight="false" outlineLevel="0" collapsed="false">
      <c r="A193" s="31"/>
      <c r="B193" s="32"/>
      <c r="C193" s="8" t="str">
        <f aca="false">IF(B193="","",IFERROR(INDEX(Checklist!$E:$E,MATCH(B193,Checklist!$A:$A,0)),"ID não encontrado"))</f>
        <v/>
      </c>
      <c r="D193" s="33"/>
      <c r="E193" s="32"/>
    </row>
    <row r="194" customFormat="false" ht="15" hidden="false" customHeight="false" outlineLevel="0" collapsed="false">
      <c r="A194" s="31"/>
      <c r="B194" s="32"/>
      <c r="C194" s="8" t="str">
        <f aca="false">IF(B194="","",IFERROR(INDEX(Checklist!$E:$E,MATCH(B194,Checklist!$A:$A,0)),"ID não encontrado"))</f>
        <v/>
      </c>
      <c r="D194" s="33"/>
      <c r="E194" s="32"/>
    </row>
    <row r="195" customFormat="false" ht="15" hidden="false" customHeight="false" outlineLevel="0" collapsed="false">
      <c r="A195" s="31"/>
      <c r="B195" s="32"/>
      <c r="C195" s="8" t="str">
        <f aca="false">IF(B195="","",IFERROR(INDEX(Checklist!$E:$E,MATCH(B195,Checklist!$A:$A,0)),"ID não encontrado"))</f>
        <v/>
      </c>
      <c r="D195" s="33"/>
      <c r="E195" s="32"/>
    </row>
    <row r="196" customFormat="false" ht="15" hidden="false" customHeight="false" outlineLevel="0" collapsed="false">
      <c r="A196" s="31"/>
      <c r="B196" s="32"/>
      <c r="C196" s="8" t="str">
        <f aca="false">IF(B196="","",IFERROR(INDEX(Checklist!$E:$E,MATCH(B196,Checklist!$A:$A,0)),"ID não encontrado"))</f>
        <v/>
      </c>
      <c r="D196" s="33"/>
      <c r="E196" s="32"/>
    </row>
    <row r="197" customFormat="false" ht="15" hidden="false" customHeight="false" outlineLevel="0" collapsed="false">
      <c r="A197" s="31"/>
      <c r="B197" s="32"/>
      <c r="C197" s="8" t="str">
        <f aca="false">IF(B197="","",IFERROR(INDEX(Checklist!$E:$E,MATCH(B197,Checklist!$A:$A,0)),"ID não encontrado"))</f>
        <v/>
      </c>
      <c r="D197" s="33"/>
      <c r="E197" s="32"/>
    </row>
    <row r="198" customFormat="false" ht="15" hidden="false" customHeight="false" outlineLevel="0" collapsed="false">
      <c r="A198" s="31"/>
      <c r="B198" s="32"/>
      <c r="C198" s="8" t="str">
        <f aca="false">IF(B198="","",IFERROR(INDEX(Checklist!$E:$E,MATCH(B198,Checklist!$A:$A,0)),"ID não encontrado"))</f>
        <v/>
      </c>
      <c r="D198" s="33"/>
      <c r="E198" s="32"/>
    </row>
    <row r="199" customFormat="false" ht="15" hidden="false" customHeight="false" outlineLevel="0" collapsed="false">
      <c r="A199" s="31"/>
      <c r="B199" s="32"/>
      <c r="C199" s="8" t="str">
        <f aca="false">IF(B199="","",IFERROR(INDEX(Checklist!$E:$E,MATCH(B199,Checklist!$A:$A,0)),"ID não encontrado"))</f>
        <v/>
      </c>
      <c r="D199" s="33"/>
      <c r="E199" s="32"/>
    </row>
    <row r="200" customFormat="false" ht="15" hidden="false" customHeight="false" outlineLevel="0" collapsed="false">
      <c r="A200" s="31"/>
      <c r="B200" s="32"/>
      <c r="C200" s="8" t="str">
        <f aca="false">IF(B200="","",IFERROR(INDEX(Checklist!$E:$E,MATCH(B200,Checklist!$A:$A,0)),"ID não encontrado"))</f>
        <v/>
      </c>
      <c r="D200" s="33"/>
      <c r="E200" s="32"/>
    </row>
    <row r="201" customFormat="false" ht="15" hidden="false" customHeight="false" outlineLevel="0" collapsed="false">
      <c r="A201" s="31"/>
      <c r="B201" s="32"/>
      <c r="C201" s="8" t="str">
        <f aca="false">IF(B201="","",IFERROR(INDEX(Checklist!$E:$E,MATCH(B201,Checklist!$A:$A,0)),"ID não encontrado"))</f>
        <v/>
      </c>
      <c r="D201" s="33"/>
      <c r="E201" s="32"/>
    </row>
    <row r="202" customFormat="false" ht="15" hidden="false" customHeight="false" outlineLevel="0" collapsed="false">
      <c r="A202" s="31"/>
      <c r="B202" s="32"/>
      <c r="C202" s="8" t="str">
        <f aca="false">IF(B202="","",IFERROR(INDEX(Checklist!$E:$E,MATCH(B202,Checklist!$A:$A,0)),"ID não encontrado"))</f>
        <v/>
      </c>
      <c r="D202" s="33"/>
      <c r="E202" s="32"/>
    </row>
    <row r="203" customFormat="false" ht="15" hidden="false" customHeight="false" outlineLevel="0" collapsed="false">
      <c r="A203" s="31"/>
      <c r="B203" s="32"/>
      <c r="C203" s="8" t="str">
        <f aca="false">IF(B203="","",IFERROR(INDEX(Checklist!$E:$E,MATCH(B203,Checklist!$A:$A,0)),"ID não encontrado"))</f>
        <v/>
      </c>
      <c r="D203" s="33"/>
      <c r="E203" s="32"/>
    </row>
    <row r="204" customFormat="false" ht="15" hidden="false" customHeight="false" outlineLevel="0" collapsed="false">
      <c r="A204" s="31"/>
      <c r="B204" s="32"/>
      <c r="C204" s="8" t="str">
        <f aca="false">IF(B204="","",IFERROR(INDEX(Checklist!$E:$E,MATCH(B204,Checklist!$A:$A,0)),"ID não encontrado"))</f>
        <v/>
      </c>
      <c r="D204" s="33"/>
      <c r="E204" s="32"/>
    </row>
    <row r="205" customFormat="false" ht="15" hidden="false" customHeight="false" outlineLevel="0" collapsed="false">
      <c r="A205" s="31"/>
      <c r="B205" s="32"/>
      <c r="C205" s="8" t="str">
        <f aca="false">IF(B205="","",IFERROR(INDEX(Checklist!$E:$E,MATCH(B205,Checklist!$A:$A,0)),"ID não encontrado"))</f>
        <v/>
      </c>
      <c r="D205" s="33"/>
      <c r="E205" s="32"/>
    </row>
    <row r="206" customFormat="false" ht="15" hidden="false" customHeight="false" outlineLevel="0" collapsed="false">
      <c r="A206" s="31"/>
      <c r="B206" s="32"/>
      <c r="C206" s="8" t="str">
        <f aca="false">IF(B206="","",IFERROR(INDEX(Checklist!$E:$E,MATCH(B206,Checklist!$A:$A,0)),"ID não encontrado"))</f>
        <v/>
      </c>
      <c r="D206" s="33"/>
      <c r="E206" s="32"/>
    </row>
    <row r="207" customFormat="false" ht="15" hidden="false" customHeight="false" outlineLevel="0" collapsed="false">
      <c r="A207" s="31"/>
      <c r="B207" s="32"/>
      <c r="C207" s="8" t="str">
        <f aca="false">IF(B207="","",IFERROR(INDEX(Checklist!$E:$E,MATCH(B207,Checklist!$A:$A,0)),"ID não encontrado"))</f>
        <v/>
      </c>
      <c r="D207" s="33"/>
      <c r="E207" s="32"/>
    </row>
    <row r="208" customFormat="false" ht="15" hidden="false" customHeight="false" outlineLevel="0" collapsed="false">
      <c r="A208" s="31"/>
      <c r="B208" s="32"/>
      <c r="C208" s="8" t="str">
        <f aca="false">IF(B208="","",IFERROR(INDEX(Checklist!$E:$E,MATCH(B208,Checklist!$A:$A,0)),"ID não encontrado"))</f>
        <v/>
      </c>
      <c r="D208" s="33"/>
      <c r="E208" s="32"/>
    </row>
    <row r="209" customFormat="false" ht="15" hidden="false" customHeight="false" outlineLevel="0" collapsed="false">
      <c r="A209" s="31"/>
      <c r="B209" s="32"/>
      <c r="C209" s="8" t="str">
        <f aca="false">IF(B209="","",IFERROR(INDEX(Checklist!$E:$E,MATCH(B209,Checklist!$A:$A,0)),"ID não encontrado"))</f>
        <v/>
      </c>
      <c r="D209" s="33"/>
      <c r="E209" s="32"/>
    </row>
    <row r="210" customFormat="false" ht="15" hidden="false" customHeight="false" outlineLevel="0" collapsed="false">
      <c r="A210" s="31"/>
      <c r="B210" s="32"/>
      <c r="C210" s="8" t="str">
        <f aca="false">IF(B210="","",IFERROR(INDEX(Checklist!$E:$E,MATCH(B210,Checklist!$A:$A,0)),"ID não encontrado"))</f>
        <v/>
      </c>
      <c r="D210" s="33"/>
      <c r="E210" s="32"/>
    </row>
    <row r="211" customFormat="false" ht="15" hidden="false" customHeight="false" outlineLevel="0" collapsed="false">
      <c r="A211" s="31"/>
      <c r="B211" s="32"/>
      <c r="C211" s="8" t="str">
        <f aca="false">IF(B211="","",IFERROR(INDEX(Checklist!$E:$E,MATCH(B211,Checklist!$A:$A,0)),"ID não encontrado"))</f>
        <v/>
      </c>
      <c r="D211" s="33"/>
      <c r="E211" s="32"/>
    </row>
    <row r="212" customFormat="false" ht="15" hidden="false" customHeight="false" outlineLevel="0" collapsed="false">
      <c r="A212" s="31"/>
      <c r="B212" s="32"/>
      <c r="C212" s="8" t="str">
        <f aca="false">IF(B212="","",IFERROR(INDEX(Checklist!$E:$E,MATCH(B212,Checklist!$A:$A,0)),"ID não encontrado"))</f>
        <v/>
      </c>
      <c r="D212" s="33"/>
      <c r="E212" s="32"/>
    </row>
    <row r="213" customFormat="false" ht="15" hidden="false" customHeight="false" outlineLevel="0" collapsed="false">
      <c r="A213" s="31"/>
      <c r="B213" s="32"/>
      <c r="C213" s="8" t="str">
        <f aca="false">IF(B213="","",IFERROR(INDEX(Checklist!$E:$E,MATCH(B213,Checklist!$A:$A,0)),"ID não encontrado"))</f>
        <v/>
      </c>
      <c r="D213" s="33"/>
      <c r="E213" s="32"/>
    </row>
    <row r="214" customFormat="false" ht="15" hidden="false" customHeight="false" outlineLevel="0" collapsed="false">
      <c r="A214" s="31"/>
      <c r="B214" s="32"/>
      <c r="C214" s="8" t="str">
        <f aca="false">IF(B214="","",IFERROR(INDEX(Checklist!$E:$E,MATCH(B214,Checklist!$A:$A,0)),"ID não encontrado"))</f>
        <v/>
      </c>
      <c r="D214" s="33"/>
      <c r="E214" s="32"/>
    </row>
    <row r="215" customFormat="false" ht="15" hidden="false" customHeight="false" outlineLevel="0" collapsed="false">
      <c r="A215" s="31"/>
      <c r="B215" s="32"/>
      <c r="C215" s="8" t="str">
        <f aca="false">IF(B215="","",IFERROR(INDEX(Checklist!$E:$E,MATCH(B215,Checklist!$A:$A,0)),"ID não encontrado"))</f>
        <v/>
      </c>
      <c r="D215" s="33"/>
      <c r="E215" s="32"/>
    </row>
    <row r="216" customFormat="false" ht="15" hidden="false" customHeight="false" outlineLevel="0" collapsed="false">
      <c r="A216" s="31"/>
      <c r="B216" s="32"/>
      <c r="C216" s="8" t="str">
        <f aca="false">IF(B216="","",IFERROR(INDEX(Checklist!$E:$E,MATCH(B216,Checklist!$A:$A,0)),"ID não encontrado"))</f>
        <v/>
      </c>
      <c r="D216" s="33"/>
      <c r="E216" s="32"/>
    </row>
    <row r="217" customFormat="false" ht="15" hidden="false" customHeight="false" outlineLevel="0" collapsed="false">
      <c r="A217" s="31"/>
      <c r="B217" s="32"/>
      <c r="C217" s="8" t="str">
        <f aca="false">IF(B217="","",IFERROR(INDEX(Checklist!$E:$E,MATCH(B217,Checklist!$A:$A,0)),"ID não encontrado"))</f>
        <v/>
      </c>
      <c r="D217" s="33"/>
      <c r="E217" s="32"/>
    </row>
    <row r="218" customFormat="false" ht="15" hidden="false" customHeight="false" outlineLevel="0" collapsed="false">
      <c r="A218" s="31"/>
      <c r="B218" s="32"/>
      <c r="C218" s="8" t="str">
        <f aca="false">IF(B218="","",IFERROR(INDEX(Checklist!$E:$E,MATCH(B218,Checklist!$A:$A,0)),"ID não encontrado"))</f>
        <v/>
      </c>
      <c r="D218" s="33"/>
      <c r="E218" s="32"/>
    </row>
    <row r="219" customFormat="false" ht="15" hidden="false" customHeight="false" outlineLevel="0" collapsed="false">
      <c r="A219" s="31"/>
      <c r="B219" s="32"/>
      <c r="C219" s="8" t="str">
        <f aca="false">IF(B219="","",IFERROR(INDEX(Checklist!$E:$E,MATCH(B219,Checklist!$A:$A,0)),"ID não encontrado"))</f>
        <v/>
      </c>
      <c r="D219" s="33"/>
      <c r="E219" s="32"/>
    </row>
    <row r="220" customFormat="false" ht="15" hidden="false" customHeight="false" outlineLevel="0" collapsed="false">
      <c r="A220" s="31"/>
      <c r="B220" s="32"/>
      <c r="C220" s="8" t="str">
        <f aca="false">IF(B220="","",IFERROR(INDEX(Checklist!$E:$E,MATCH(B220,Checklist!$A:$A,0)),"ID não encontrado"))</f>
        <v/>
      </c>
      <c r="D220" s="33"/>
      <c r="E220" s="32"/>
    </row>
    <row r="221" customFormat="false" ht="15" hidden="false" customHeight="false" outlineLevel="0" collapsed="false">
      <c r="A221" s="31"/>
      <c r="B221" s="32"/>
      <c r="C221" s="8" t="str">
        <f aca="false">IF(B221="","",IFERROR(INDEX(Checklist!$E:$E,MATCH(B221,Checklist!$A:$A,0)),"ID não encontrado"))</f>
        <v/>
      </c>
      <c r="D221" s="33"/>
      <c r="E221" s="32"/>
    </row>
    <row r="222" customFormat="false" ht="15" hidden="false" customHeight="false" outlineLevel="0" collapsed="false">
      <c r="A222" s="31"/>
      <c r="B222" s="32"/>
      <c r="C222" s="8" t="str">
        <f aca="false">IF(B222="","",IFERROR(INDEX(Checklist!$E:$E,MATCH(B222,Checklist!$A:$A,0)),"ID não encontrado"))</f>
        <v/>
      </c>
      <c r="D222" s="33"/>
      <c r="E222" s="32"/>
    </row>
    <row r="223" customFormat="false" ht="15" hidden="false" customHeight="false" outlineLevel="0" collapsed="false">
      <c r="A223" s="31"/>
      <c r="B223" s="32"/>
      <c r="C223" s="8" t="str">
        <f aca="false">IF(B223="","",IFERROR(INDEX(Checklist!$E:$E,MATCH(B223,Checklist!$A:$A,0)),"ID não encontrado"))</f>
        <v/>
      </c>
      <c r="D223" s="33"/>
      <c r="E223" s="32"/>
    </row>
    <row r="224" customFormat="false" ht="15" hidden="false" customHeight="false" outlineLevel="0" collapsed="false">
      <c r="A224" s="31"/>
      <c r="B224" s="32"/>
      <c r="C224" s="8" t="str">
        <f aca="false">IF(B224="","",IFERROR(INDEX(Checklist!$E:$E,MATCH(B224,Checklist!$A:$A,0)),"ID não encontrado"))</f>
        <v/>
      </c>
      <c r="D224" s="33"/>
      <c r="E224" s="32"/>
    </row>
    <row r="225" customFormat="false" ht="15" hidden="false" customHeight="false" outlineLevel="0" collapsed="false">
      <c r="A225" s="31"/>
      <c r="B225" s="32"/>
      <c r="C225" s="8" t="str">
        <f aca="false">IF(B225="","",IFERROR(INDEX(Checklist!$E:$E,MATCH(B225,Checklist!$A:$A,0)),"ID não encontrado"))</f>
        <v/>
      </c>
      <c r="D225" s="33"/>
      <c r="E225" s="32"/>
    </row>
    <row r="226" customFormat="false" ht="15" hidden="false" customHeight="false" outlineLevel="0" collapsed="false">
      <c r="A226" s="31"/>
      <c r="B226" s="32"/>
      <c r="C226" s="8" t="str">
        <f aca="false">IF(B226="","",IFERROR(INDEX(Checklist!$E:$E,MATCH(B226,Checklist!$A:$A,0)),"ID não encontrado"))</f>
        <v/>
      </c>
      <c r="D226" s="33"/>
      <c r="E226" s="32"/>
    </row>
    <row r="227" customFormat="false" ht="15" hidden="false" customHeight="false" outlineLevel="0" collapsed="false">
      <c r="A227" s="31"/>
      <c r="B227" s="32"/>
      <c r="C227" s="8" t="str">
        <f aca="false">IF(B227="","",IFERROR(INDEX(Checklist!$E:$E,MATCH(B227,Checklist!$A:$A,0)),"ID não encontrado"))</f>
        <v/>
      </c>
      <c r="D227" s="33"/>
      <c r="E227" s="32"/>
    </row>
    <row r="228" customFormat="false" ht="15" hidden="false" customHeight="false" outlineLevel="0" collapsed="false">
      <c r="A228" s="31"/>
      <c r="B228" s="32"/>
      <c r="C228" s="8" t="str">
        <f aca="false">IF(B228="","",IFERROR(INDEX(Checklist!$E:$E,MATCH(B228,Checklist!$A:$A,0)),"ID não encontrado"))</f>
        <v/>
      </c>
      <c r="D228" s="33"/>
      <c r="E228" s="32"/>
    </row>
    <row r="229" customFormat="false" ht="15" hidden="false" customHeight="false" outlineLevel="0" collapsed="false">
      <c r="A229" s="31"/>
      <c r="B229" s="32"/>
      <c r="C229" s="8" t="str">
        <f aca="false">IF(B229="","",IFERROR(INDEX(Checklist!$E:$E,MATCH(B229,Checklist!$A:$A,0)),"ID não encontrado"))</f>
        <v/>
      </c>
      <c r="D229" s="33"/>
      <c r="E229" s="32"/>
    </row>
    <row r="230" customFormat="false" ht="15" hidden="false" customHeight="false" outlineLevel="0" collapsed="false">
      <c r="A230" s="31"/>
      <c r="B230" s="32"/>
      <c r="C230" s="8" t="str">
        <f aca="false">IF(B230="","",IFERROR(INDEX(Checklist!$E:$E,MATCH(B230,Checklist!$A:$A,0)),"ID não encontrado"))</f>
        <v/>
      </c>
      <c r="D230" s="33"/>
      <c r="E230" s="32"/>
    </row>
    <row r="231" customFormat="false" ht="15" hidden="false" customHeight="false" outlineLevel="0" collapsed="false">
      <c r="A231" s="31"/>
      <c r="B231" s="32"/>
      <c r="C231" s="8" t="str">
        <f aca="false">IF(B231="","",IFERROR(INDEX(Checklist!$E:$E,MATCH(B231,Checklist!$A:$A,0)),"ID não encontrado"))</f>
        <v/>
      </c>
      <c r="D231" s="33"/>
      <c r="E231" s="32"/>
    </row>
    <row r="232" customFormat="false" ht="15" hidden="false" customHeight="false" outlineLevel="0" collapsed="false">
      <c r="A232" s="31"/>
      <c r="B232" s="32"/>
      <c r="C232" s="8" t="str">
        <f aca="false">IF(B232="","",IFERROR(INDEX(Checklist!$E:$E,MATCH(B232,Checklist!$A:$A,0)),"ID não encontrado"))</f>
        <v/>
      </c>
      <c r="D232" s="33"/>
      <c r="E232" s="32"/>
    </row>
    <row r="233" customFormat="false" ht="15" hidden="false" customHeight="false" outlineLevel="0" collapsed="false">
      <c r="A233" s="31"/>
      <c r="B233" s="32"/>
      <c r="C233" s="8" t="str">
        <f aca="false">IF(B233="","",IFERROR(INDEX(Checklist!$E:$E,MATCH(B233,Checklist!$A:$A,0)),"ID não encontrado"))</f>
        <v/>
      </c>
      <c r="D233" s="33"/>
      <c r="E233" s="32"/>
    </row>
    <row r="234" customFormat="false" ht="15" hidden="false" customHeight="false" outlineLevel="0" collapsed="false">
      <c r="A234" s="31"/>
      <c r="B234" s="32"/>
      <c r="C234" s="8" t="str">
        <f aca="false">IF(B234="","",IFERROR(INDEX(Checklist!$E:$E,MATCH(B234,Checklist!$A:$A,0)),"ID não encontrado"))</f>
        <v/>
      </c>
      <c r="D234" s="33"/>
      <c r="E234" s="32"/>
    </row>
    <row r="235" customFormat="false" ht="15" hidden="false" customHeight="false" outlineLevel="0" collapsed="false">
      <c r="A235" s="31"/>
      <c r="B235" s="32"/>
      <c r="C235" s="8" t="str">
        <f aca="false">IF(B235="","",IFERROR(INDEX(Checklist!$E:$E,MATCH(B235,Checklist!$A:$A,0)),"ID não encontrado"))</f>
        <v/>
      </c>
      <c r="D235" s="33"/>
      <c r="E235" s="32"/>
    </row>
    <row r="236" customFormat="false" ht="15" hidden="false" customHeight="false" outlineLevel="0" collapsed="false">
      <c r="A236" s="31"/>
      <c r="B236" s="32"/>
      <c r="C236" s="8" t="str">
        <f aca="false">IF(B236="","",IFERROR(INDEX(Checklist!$E:$E,MATCH(B236,Checklist!$A:$A,0)),"ID não encontrado"))</f>
        <v/>
      </c>
      <c r="D236" s="33"/>
      <c r="E236" s="32"/>
    </row>
    <row r="237" customFormat="false" ht="15" hidden="false" customHeight="false" outlineLevel="0" collapsed="false">
      <c r="A237" s="31"/>
      <c r="B237" s="32"/>
      <c r="C237" s="8" t="str">
        <f aca="false">IF(B237="","",IFERROR(INDEX(Checklist!$E:$E,MATCH(B237,Checklist!$A:$A,0)),"ID não encontrado"))</f>
        <v/>
      </c>
      <c r="D237" s="33"/>
      <c r="E237" s="32"/>
    </row>
    <row r="238" customFormat="false" ht="15" hidden="false" customHeight="false" outlineLevel="0" collapsed="false">
      <c r="A238" s="31"/>
      <c r="B238" s="32"/>
      <c r="C238" s="8" t="str">
        <f aca="false">IF(B238="","",IFERROR(INDEX(Checklist!$E:$E,MATCH(B238,Checklist!$A:$A,0)),"ID não encontrado"))</f>
        <v/>
      </c>
      <c r="D238" s="33"/>
      <c r="E238" s="32"/>
    </row>
    <row r="239" customFormat="false" ht="15" hidden="false" customHeight="false" outlineLevel="0" collapsed="false">
      <c r="A239" s="31"/>
      <c r="B239" s="32"/>
      <c r="C239" s="8" t="str">
        <f aca="false">IF(B239="","",IFERROR(INDEX(Checklist!$E:$E,MATCH(B239,Checklist!$A:$A,0)),"ID não encontrado"))</f>
        <v/>
      </c>
      <c r="D239" s="33"/>
      <c r="E239" s="32"/>
    </row>
    <row r="240" customFormat="false" ht="15" hidden="false" customHeight="false" outlineLevel="0" collapsed="false">
      <c r="A240" s="31"/>
      <c r="B240" s="32"/>
      <c r="C240" s="8" t="str">
        <f aca="false">IF(B240="","",IFERROR(INDEX(Checklist!$E:$E,MATCH(B240,Checklist!$A:$A,0)),"ID não encontrado"))</f>
        <v/>
      </c>
      <c r="D240" s="33"/>
      <c r="E240" s="32"/>
    </row>
    <row r="241" customFormat="false" ht="15" hidden="false" customHeight="false" outlineLevel="0" collapsed="false">
      <c r="A241" s="31"/>
      <c r="B241" s="32"/>
      <c r="C241" s="8" t="str">
        <f aca="false">IF(B241="","",IFERROR(INDEX(Checklist!$E:$E,MATCH(B241,Checklist!$A:$A,0)),"ID não encontrado"))</f>
        <v/>
      </c>
      <c r="D241" s="33"/>
      <c r="E241" s="32"/>
    </row>
    <row r="242" customFormat="false" ht="15" hidden="false" customHeight="false" outlineLevel="0" collapsed="false">
      <c r="A242" s="31"/>
      <c r="B242" s="32"/>
      <c r="C242" s="8" t="str">
        <f aca="false">IF(B242="","",IFERROR(INDEX(Checklist!$E:$E,MATCH(B242,Checklist!$A:$A,0)),"ID não encontrado"))</f>
        <v/>
      </c>
      <c r="D242" s="33"/>
      <c r="E242" s="32"/>
    </row>
    <row r="243" customFormat="false" ht="15" hidden="false" customHeight="false" outlineLevel="0" collapsed="false">
      <c r="A243" s="31"/>
      <c r="B243" s="32"/>
      <c r="C243" s="8" t="str">
        <f aca="false">IF(B243="","",IFERROR(INDEX(Checklist!$E:$E,MATCH(B243,Checklist!$A:$A,0)),"ID não encontrado"))</f>
        <v/>
      </c>
      <c r="D243" s="33"/>
      <c r="E243" s="32"/>
    </row>
    <row r="244" customFormat="false" ht="15" hidden="false" customHeight="false" outlineLevel="0" collapsed="false">
      <c r="A244" s="31"/>
      <c r="B244" s="32"/>
      <c r="C244" s="8" t="str">
        <f aca="false">IF(B244="","",IFERROR(INDEX(Checklist!$E:$E,MATCH(B244,Checklist!$A:$A,0)),"ID não encontrado"))</f>
        <v/>
      </c>
      <c r="D244" s="33"/>
      <c r="E244" s="32"/>
    </row>
    <row r="245" customFormat="false" ht="15" hidden="false" customHeight="false" outlineLevel="0" collapsed="false">
      <c r="A245" s="31"/>
      <c r="B245" s="32"/>
      <c r="C245" s="8" t="str">
        <f aca="false">IF(B245="","",IFERROR(INDEX(Checklist!$E:$E,MATCH(B245,Checklist!$A:$A,0)),"ID não encontrado"))</f>
        <v/>
      </c>
      <c r="D245" s="33"/>
      <c r="E245" s="32"/>
    </row>
    <row r="246" customFormat="false" ht="15" hidden="false" customHeight="false" outlineLevel="0" collapsed="false">
      <c r="A246" s="31"/>
      <c r="B246" s="32"/>
      <c r="C246" s="8" t="str">
        <f aca="false">IF(B246="","",IFERROR(INDEX(Checklist!$E:$E,MATCH(B246,Checklist!$A:$A,0)),"ID não encontrado"))</f>
        <v/>
      </c>
      <c r="D246" s="33"/>
      <c r="E246" s="32"/>
    </row>
    <row r="247" customFormat="false" ht="15" hidden="false" customHeight="false" outlineLevel="0" collapsed="false">
      <c r="A247" s="31"/>
      <c r="B247" s="32"/>
      <c r="C247" s="8" t="str">
        <f aca="false">IF(B247="","",IFERROR(INDEX(Checklist!$E:$E,MATCH(B247,Checklist!$A:$A,0)),"ID não encontrado"))</f>
        <v/>
      </c>
      <c r="D247" s="33"/>
      <c r="E247" s="32"/>
    </row>
    <row r="248" customFormat="false" ht="15" hidden="false" customHeight="false" outlineLevel="0" collapsed="false">
      <c r="A248" s="31"/>
      <c r="B248" s="32"/>
      <c r="C248" s="8" t="str">
        <f aca="false">IF(B248="","",IFERROR(INDEX(Checklist!$E:$E,MATCH(B248,Checklist!$A:$A,0)),"ID não encontrado"))</f>
        <v/>
      </c>
      <c r="D248" s="33"/>
      <c r="E248" s="32"/>
    </row>
    <row r="249" customFormat="false" ht="15" hidden="false" customHeight="false" outlineLevel="0" collapsed="false">
      <c r="A249" s="31"/>
      <c r="B249" s="32"/>
      <c r="C249" s="8" t="str">
        <f aca="false">IF(B249="","",IFERROR(INDEX(Checklist!$E:$E,MATCH(B249,Checklist!$A:$A,0)),"ID não encontrado"))</f>
        <v/>
      </c>
      <c r="D249" s="33"/>
      <c r="E249" s="32"/>
    </row>
    <row r="250" customFormat="false" ht="15" hidden="false" customHeight="false" outlineLevel="0" collapsed="false">
      <c r="A250" s="31"/>
      <c r="B250" s="32"/>
      <c r="C250" s="8" t="str">
        <f aca="false">IF(B250="","",IFERROR(INDEX(Checklist!$E:$E,MATCH(B250,Checklist!$A:$A,0)),"ID não encontrado"))</f>
        <v/>
      </c>
      <c r="D250" s="33"/>
      <c r="E250" s="32"/>
    </row>
    <row r="251" customFormat="false" ht="15" hidden="false" customHeight="false" outlineLevel="0" collapsed="false">
      <c r="A251" s="31"/>
      <c r="B251" s="32"/>
      <c r="C251" s="8" t="str">
        <f aca="false">IF(B251="","",IFERROR(INDEX(Checklist!$E:$E,MATCH(B251,Checklist!$A:$A,0)),"ID não encontrado"))</f>
        <v/>
      </c>
      <c r="D251" s="33"/>
      <c r="E251" s="32"/>
    </row>
    <row r="252" customFormat="false" ht="15" hidden="false" customHeight="false" outlineLevel="0" collapsed="false">
      <c r="A252" s="31"/>
      <c r="B252" s="32"/>
      <c r="C252" s="8" t="str">
        <f aca="false">IF(B252="","",IFERROR(INDEX(Checklist!$E:$E,MATCH(B252,Checklist!$A:$A,0)),"ID não encontrado"))</f>
        <v/>
      </c>
      <c r="D252" s="33"/>
      <c r="E252" s="32"/>
    </row>
    <row r="253" customFormat="false" ht="15" hidden="false" customHeight="false" outlineLevel="0" collapsed="false">
      <c r="A253" s="31"/>
      <c r="B253" s="32"/>
      <c r="C253" s="8" t="str">
        <f aca="false">IF(B253="","",IFERROR(INDEX(Checklist!$E:$E,MATCH(B253,Checklist!$A:$A,0)),"ID não encontrado"))</f>
        <v/>
      </c>
      <c r="D253" s="33"/>
      <c r="E253" s="32"/>
    </row>
    <row r="254" customFormat="false" ht="15" hidden="false" customHeight="false" outlineLevel="0" collapsed="false">
      <c r="A254" s="31"/>
      <c r="B254" s="32"/>
      <c r="C254" s="8" t="str">
        <f aca="false">IF(B254="","",IFERROR(INDEX(Checklist!$E:$E,MATCH(B254,Checklist!$A:$A,0)),"ID não encontrado"))</f>
        <v/>
      </c>
      <c r="D254" s="33"/>
      <c r="E254" s="32"/>
    </row>
    <row r="255" customFormat="false" ht="15" hidden="false" customHeight="false" outlineLevel="0" collapsed="false">
      <c r="A255" s="31"/>
      <c r="B255" s="32"/>
      <c r="C255" s="8" t="str">
        <f aca="false">IF(B255="","",IFERROR(INDEX(Checklist!$E:$E,MATCH(B255,Checklist!$A:$A,0)),"ID não encontrado"))</f>
        <v/>
      </c>
      <c r="D255" s="33"/>
      <c r="E255" s="32"/>
    </row>
    <row r="256" customFormat="false" ht="15" hidden="false" customHeight="false" outlineLevel="0" collapsed="false">
      <c r="A256" s="31"/>
      <c r="B256" s="32"/>
      <c r="C256" s="8" t="str">
        <f aca="false">IF(B256="","",IFERROR(INDEX(Checklist!$E:$E,MATCH(B256,Checklist!$A:$A,0)),"ID não encontrado"))</f>
        <v/>
      </c>
      <c r="D256" s="33"/>
      <c r="E256" s="32"/>
    </row>
    <row r="257" customFormat="false" ht="15" hidden="false" customHeight="false" outlineLevel="0" collapsed="false">
      <c r="A257" s="31"/>
      <c r="B257" s="32"/>
      <c r="C257" s="8" t="str">
        <f aca="false">IF(B257="","",IFERROR(INDEX(Checklist!$E:$E,MATCH(B257,Checklist!$A:$A,0)),"ID não encontrado"))</f>
        <v/>
      </c>
      <c r="D257" s="33"/>
      <c r="E257" s="32"/>
    </row>
    <row r="258" customFormat="false" ht="15" hidden="false" customHeight="false" outlineLevel="0" collapsed="false">
      <c r="A258" s="31"/>
      <c r="B258" s="32"/>
      <c r="C258" s="8" t="str">
        <f aca="false">IF(B258="","",IFERROR(INDEX(Checklist!$E:$E,MATCH(B258,Checklist!$A:$A,0)),"ID não encontrado"))</f>
        <v/>
      </c>
      <c r="D258" s="33"/>
      <c r="E258" s="32"/>
    </row>
    <row r="259" customFormat="false" ht="15" hidden="false" customHeight="false" outlineLevel="0" collapsed="false">
      <c r="A259" s="31"/>
      <c r="B259" s="32"/>
      <c r="C259" s="8" t="str">
        <f aca="false">IF(B259="","",IFERROR(INDEX(Checklist!$E:$E,MATCH(B259,Checklist!$A:$A,0)),"ID não encontrado"))</f>
        <v/>
      </c>
      <c r="D259" s="33"/>
      <c r="E259" s="32"/>
    </row>
    <row r="260" customFormat="false" ht="15" hidden="false" customHeight="false" outlineLevel="0" collapsed="false">
      <c r="A260" s="31"/>
      <c r="B260" s="32"/>
      <c r="C260" s="8" t="str">
        <f aca="false">IF(B260="","",IFERROR(INDEX(Checklist!$E:$E,MATCH(B260,Checklist!$A:$A,0)),"ID não encontrado"))</f>
        <v/>
      </c>
      <c r="D260" s="33"/>
      <c r="E260" s="32"/>
    </row>
    <row r="261" customFormat="false" ht="15" hidden="false" customHeight="false" outlineLevel="0" collapsed="false">
      <c r="A261" s="31"/>
      <c r="B261" s="32"/>
      <c r="C261" s="8" t="str">
        <f aca="false">IF(B261="","",IFERROR(INDEX(Checklist!$E:$E,MATCH(B261,Checklist!$A:$A,0)),"ID não encontrado"))</f>
        <v/>
      </c>
      <c r="D261" s="33"/>
      <c r="E261" s="32"/>
    </row>
    <row r="262" customFormat="false" ht="15" hidden="false" customHeight="false" outlineLevel="0" collapsed="false">
      <c r="A262" s="31"/>
      <c r="B262" s="32"/>
      <c r="C262" s="8" t="str">
        <f aca="false">IF(B262="","",IFERROR(INDEX(Checklist!$E:$E,MATCH(B262,Checklist!$A:$A,0)),"ID não encontrado"))</f>
        <v/>
      </c>
      <c r="D262" s="33"/>
      <c r="E262" s="32"/>
    </row>
    <row r="263" customFormat="false" ht="15" hidden="false" customHeight="false" outlineLevel="0" collapsed="false">
      <c r="A263" s="31"/>
      <c r="B263" s="32"/>
      <c r="C263" s="8" t="str">
        <f aca="false">IF(B263="","",IFERROR(INDEX(Checklist!$E:$E,MATCH(B263,Checklist!$A:$A,0)),"ID não encontrado"))</f>
        <v/>
      </c>
      <c r="D263" s="33"/>
      <c r="E263" s="32"/>
    </row>
    <row r="264" customFormat="false" ht="15" hidden="false" customHeight="false" outlineLevel="0" collapsed="false">
      <c r="A264" s="31"/>
      <c r="B264" s="32"/>
      <c r="C264" s="8" t="str">
        <f aca="false">IF(B264="","",IFERROR(INDEX(Checklist!$E:$E,MATCH(B264,Checklist!$A:$A,0)),"ID não encontrado"))</f>
        <v/>
      </c>
      <c r="D264" s="33"/>
      <c r="E264" s="32"/>
    </row>
    <row r="265" customFormat="false" ht="15" hidden="false" customHeight="false" outlineLevel="0" collapsed="false">
      <c r="A265" s="31"/>
      <c r="B265" s="32"/>
      <c r="C265" s="8" t="str">
        <f aca="false">IF(B265="","",IFERROR(INDEX(Checklist!$E:$E,MATCH(B265,Checklist!$A:$A,0)),"ID não encontrado"))</f>
        <v/>
      </c>
      <c r="D265" s="33"/>
      <c r="E265" s="32"/>
    </row>
    <row r="266" customFormat="false" ht="15" hidden="false" customHeight="false" outlineLevel="0" collapsed="false">
      <c r="A266" s="31"/>
      <c r="B266" s="32"/>
      <c r="C266" s="8" t="str">
        <f aca="false">IF(B266="","",IFERROR(INDEX(Checklist!$E:$E,MATCH(B266,Checklist!$A:$A,0)),"ID não encontrado"))</f>
        <v/>
      </c>
      <c r="D266" s="33"/>
      <c r="E266" s="32"/>
    </row>
    <row r="267" customFormat="false" ht="15" hidden="false" customHeight="false" outlineLevel="0" collapsed="false">
      <c r="A267" s="31"/>
      <c r="B267" s="32"/>
      <c r="C267" s="8" t="str">
        <f aca="false">IF(B267="","",IFERROR(INDEX(Checklist!$E:$E,MATCH(B267,Checklist!$A:$A,0)),"ID não encontrado"))</f>
        <v/>
      </c>
      <c r="D267" s="33"/>
      <c r="E267" s="32"/>
    </row>
    <row r="268" customFormat="false" ht="15" hidden="false" customHeight="false" outlineLevel="0" collapsed="false">
      <c r="A268" s="31"/>
      <c r="B268" s="32"/>
      <c r="C268" s="8" t="str">
        <f aca="false">IF(B268="","",IFERROR(INDEX(Checklist!$E:$E,MATCH(B268,Checklist!$A:$A,0)),"ID não encontrado"))</f>
        <v/>
      </c>
      <c r="D268" s="33"/>
      <c r="E268" s="32"/>
    </row>
    <row r="269" customFormat="false" ht="15" hidden="false" customHeight="false" outlineLevel="0" collapsed="false">
      <c r="A269" s="31"/>
      <c r="B269" s="32"/>
      <c r="C269" s="8" t="str">
        <f aca="false">IF(B269="","",IFERROR(INDEX(Checklist!$E:$E,MATCH(B269,Checklist!$A:$A,0)),"ID não encontrado"))</f>
        <v/>
      </c>
      <c r="D269" s="33"/>
      <c r="E269" s="32"/>
    </row>
    <row r="270" customFormat="false" ht="15" hidden="false" customHeight="false" outlineLevel="0" collapsed="false">
      <c r="A270" s="31"/>
      <c r="B270" s="32"/>
      <c r="C270" s="8" t="str">
        <f aca="false">IF(B270="","",IFERROR(INDEX(Checklist!$E:$E,MATCH(B270,Checklist!$A:$A,0)),"ID não encontrado"))</f>
        <v/>
      </c>
      <c r="D270" s="33"/>
      <c r="E270" s="32"/>
    </row>
    <row r="271" customFormat="false" ht="15" hidden="false" customHeight="false" outlineLevel="0" collapsed="false">
      <c r="A271" s="31"/>
      <c r="B271" s="32"/>
      <c r="C271" s="8" t="str">
        <f aca="false">IF(B271="","",IFERROR(INDEX(Checklist!$E:$E,MATCH(B271,Checklist!$A:$A,0)),"ID não encontrado"))</f>
        <v/>
      </c>
      <c r="D271" s="33"/>
      <c r="E271" s="32"/>
    </row>
    <row r="272" customFormat="false" ht="15" hidden="false" customHeight="false" outlineLevel="0" collapsed="false">
      <c r="A272" s="31"/>
      <c r="B272" s="32"/>
      <c r="C272" s="8" t="str">
        <f aca="false">IF(B272="","",IFERROR(INDEX(Checklist!$E:$E,MATCH(B272,Checklist!$A:$A,0)),"ID não encontrado"))</f>
        <v/>
      </c>
      <c r="D272" s="33"/>
      <c r="E272" s="32"/>
    </row>
    <row r="273" customFormat="false" ht="15" hidden="false" customHeight="false" outlineLevel="0" collapsed="false">
      <c r="A273" s="31"/>
      <c r="B273" s="32"/>
      <c r="C273" s="8" t="str">
        <f aca="false">IF(B273="","",IFERROR(INDEX(Checklist!$E:$E,MATCH(B273,Checklist!$A:$A,0)),"ID não encontrado"))</f>
        <v/>
      </c>
      <c r="D273" s="33"/>
      <c r="E273" s="32"/>
    </row>
    <row r="274" customFormat="false" ht="15" hidden="false" customHeight="false" outlineLevel="0" collapsed="false">
      <c r="A274" s="31"/>
      <c r="B274" s="32"/>
      <c r="C274" s="8" t="str">
        <f aca="false">IF(B274="","",IFERROR(INDEX(Checklist!$E:$E,MATCH(B274,Checklist!$A:$A,0)),"ID não encontrado"))</f>
        <v/>
      </c>
      <c r="D274" s="33"/>
      <c r="E274" s="32"/>
    </row>
    <row r="275" customFormat="false" ht="15" hidden="false" customHeight="false" outlineLevel="0" collapsed="false">
      <c r="A275" s="31"/>
      <c r="B275" s="32"/>
      <c r="C275" s="8" t="str">
        <f aca="false">IF(B275="","",IFERROR(INDEX(Checklist!$E:$E,MATCH(B275,Checklist!$A:$A,0)),"ID não encontrado"))</f>
        <v/>
      </c>
      <c r="D275" s="33"/>
      <c r="E275" s="32"/>
    </row>
    <row r="276" customFormat="false" ht="15" hidden="false" customHeight="false" outlineLevel="0" collapsed="false">
      <c r="A276" s="31"/>
      <c r="B276" s="32"/>
      <c r="C276" s="8" t="str">
        <f aca="false">IF(B276="","",IFERROR(INDEX(Checklist!$E:$E,MATCH(B276,Checklist!$A:$A,0)),"ID não encontrado"))</f>
        <v/>
      </c>
      <c r="D276" s="33"/>
      <c r="E276" s="32"/>
    </row>
    <row r="277" customFormat="false" ht="15" hidden="false" customHeight="false" outlineLevel="0" collapsed="false">
      <c r="A277" s="31"/>
      <c r="B277" s="32"/>
      <c r="C277" s="8" t="str">
        <f aca="false">IF(B277="","",IFERROR(INDEX(Checklist!$E:$E,MATCH(B277,Checklist!$A:$A,0)),"ID não encontrado"))</f>
        <v/>
      </c>
      <c r="D277" s="33"/>
      <c r="E277" s="32"/>
    </row>
    <row r="278" customFormat="false" ht="15" hidden="false" customHeight="false" outlineLevel="0" collapsed="false">
      <c r="A278" s="31"/>
      <c r="B278" s="32"/>
      <c r="C278" s="8" t="str">
        <f aca="false">IF(B278="","",IFERROR(INDEX(Checklist!$E:$E,MATCH(B278,Checklist!$A:$A,0)),"ID não encontrado"))</f>
        <v/>
      </c>
      <c r="D278" s="33"/>
      <c r="E278" s="32"/>
    </row>
    <row r="279" customFormat="false" ht="15" hidden="false" customHeight="false" outlineLevel="0" collapsed="false">
      <c r="A279" s="31"/>
      <c r="B279" s="32"/>
      <c r="C279" s="8" t="str">
        <f aca="false">IF(B279="","",IFERROR(INDEX(Checklist!$E:$E,MATCH(B279,Checklist!$A:$A,0)),"ID não encontrado"))</f>
        <v/>
      </c>
      <c r="D279" s="33"/>
      <c r="E279" s="32"/>
    </row>
    <row r="280" customFormat="false" ht="15" hidden="false" customHeight="false" outlineLevel="0" collapsed="false">
      <c r="A280" s="31"/>
      <c r="B280" s="32"/>
      <c r="C280" s="8" t="str">
        <f aca="false">IF(B280="","",IFERROR(INDEX(Checklist!$E:$E,MATCH(B280,Checklist!$A:$A,0)),"ID não encontrado"))</f>
        <v/>
      </c>
      <c r="D280" s="33"/>
      <c r="E280" s="32"/>
    </row>
    <row r="281" customFormat="false" ht="15" hidden="false" customHeight="false" outlineLevel="0" collapsed="false">
      <c r="A281" s="31"/>
      <c r="B281" s="32"/>
      <c r="C281" s="8" t="str">
        <f aca="false">IF(B281="","",IFERROR(INDEX(Checklist!$E:$E,MATCH(B281,Checklist!$A:$A,0)),"ID não encontrado"))</f>
        <v/>
      </c>
      <c r="D281" s="33"/>
      <c r="E281" s="32"/>
    </row>
    <row r="282" customFormat="false" ht="15" hidden="false" customHeight="false" outlineLevel="0" collapsed="false">
      <c r="A282" s="31"/>
      <c r="B282" s="32"/>
      <c r="C282" s="8" t="str">
        <f aca="false">IF(B282="","",IFERROR(INDEX(Checklist!$E:$E,MATCH(B282,Checklist!$A:$A,0)),"ID não encontrado"))</f>
        <v/>
      </c>
      <c r="D282" s="33"/>
      <c r="E282" s="32"/>
    </row>
    <row r="283" customFormat="false" ht="15" hidden="false" customHeight="false" outlineLevel="0" collapsed="false">
      <c r="A283" s="31"/>
      <c r="B283" s="32"/>
      <c r="C283" s="8" t="str">
        <f aca="false">IF(B283="","",IFERROR(INDEX(Checklist!$E:$E,MATCH(B283,Checklist!$A:$A,0)),"ID não encontrado"))</f>
        <v/>
      </c>
      <c r="D283" s="33"/>
      <c r="E283" s="32"/>
    </row>
    <row r="284" customFormat="false" ht="15" hidden="false" customHeight="false" outlineLevel="0" collapsed="false">
      <c r="A284" s="31"/>
      <c r="B284" s="32"/>
      <c r="C284" s="8" t="str">
        <f aca="false">IF(B284="","",IFERROR(INDEX(Checklist!$E:$E,MATCH(B284,Checklist!$A:$A,0)),"ID não encontrado"))</f>
        <v/>
      </c>
      <c r="D284" s="33"/>
      <c r="E284" s="32"/>
    </row>
    <row r="285" customFormat="false" ht="15" hidden="false" customHeight="false" outlineLevel="0" collapsed="false">
      <c r="A285" s="31"/>
      <c r="B285" s="32"/>
      <c r="C285" s="8" t="str">
        <f aca="false">IF(B285="","",IFERROR(INDEX(Checklist!$E:$E,MATCH(B285,Checklist!$A:$A,0)),"ID não encontrado"))</f>
        <v/>
      </c>
      <c r="D285" s="33"/>
      <c r="E285" s="32"/>
    </row>
    <row r="286" customFormat="false" ht="15" hidden="false" customHeight="false" outlineLevel="0" collapsed="false">
      <c r="A286" s="31"/>
      <c r="B286" s="32"/>
      <c r="C286" s="8" t="str">
        <f aca="false">IF(B286="","",IFERROR(INDEX(Checklist!$E:$E,MATCH(B286,Checklist!$A:$A,0)),"ID não encontrado"))</f>
        <v/>
      </c>
      <c r="D286" s="33"/>
      <c r="E286" s="32"/>
    </row>
    <row r="287" customFormat="false" ht="15" hidden="false" customHeight="false" outlineLevel="0" collapsed="false">
      <c r="A287" s="31"/>
      <c r="B287" s="32"/>
      <c r="C287" s="8" t="str">
        <f aca="false">IF(B287="","",IFERROR(INDEX(Checklist!$E:$E,MATCH(B287,Checklist!$A:$A,0)),"ID não encontrado"))</f>
        <v/>
      </c>
      <c r="D287" s="33"/>
      <c r="E287" s="32"/>
    </row>
    <row r="288" customFormat="false" ht="15" hidden="false" customHeight="false" outlineLevel="0" collapsed="false">
      <c r="A288" s="31"/>
      <c r="B288" s="32"/>
      <c r="C288" s="8" t="str">
        <f aca="false">IF(B288="","",IFERROR(INDEX(Checklist!$E:$E,MATCH(B288,Checklist!$A:$A,0)),"ID não encontrado"))</f>
        <v/>
      </c>
      <c r="D288" s="33"/>
      <c r="E288" s="32"/>
    </row>
    <row r="289" customFormat="false" ht="15" hidden="false" customHeight="false" outlineLevel="0" collapsed="false">
      <c r="A289" s="31"/>
      <c r="B289" s="32"/>
      <c r="C289" s="8" t="str">
        <f aca="false">IF(B289="","",IFERROR(INDEX(Checklist!$E:$E,MATCH(B289,Checklist!$A:$A,0)),"ID não encontrado"))</f>
        <v/>
      </c>
      <c r="D289" s="33"/>
      <c r="E289" s="32"/>
    </row>
    <row r="290" customFormat="false" ht="15" hidden="false" customHeight="false" outlineLevel="0" collapsed="false">
      <c r="A290" s="31"/>
      <c r="B290" s="32"/>
      <c r="C290" s="8" t="str">
        <f aca="false">IF(B290="","",IFERROR(INDEX(Checklist!$E:$E,MATCH(B290,Checklist!$A:$A,0)),"ID não encontrado"))</f>
        <v/>
      </c>
      <c r="D290" s="33"/>
      <c r="E290" s="32"/>
    </row>
    <row r="291" customFormat="false" ht="15" hidden="false" customHeight="false" outlineLevel="0" collapsed="false">
      <c r="A291" s="31"/>
      <c r="B291" s="32"/>
      <c r="C291" s="8" t="str">
        <f aca="false">IF(B291="","",IFERROR(INDEX(Checklist!$E:$E,MATCH(B291,Checklist!$A:$A,0)),"ID não encontrado"))</f>
        <v/>
      </c>
      <c r="D291" s="33"/>
      <c r="E291" s="32"/>
    </row>
    <row r="292" customFormat="false" ht="15" hidden="false" customHeight="false" outlineLevel="0" collapsed="false">
      <c r="A292" s="31"/>
      <c r="B292" s="32"/>
      <c r="C292" s="8" t="str">
        <f aca="false">IF(B292="","",IFERROR(INDEX(Checklist!$E:$E,MATCH(B292,Checklist!$A:$A,0)),"ID não encontrado"))</f>
        <v/>
      </c>
      <c r="D292" s="33"/>
      <c r="E292" s="32"/>
    </row>
    <row r="293" customFormat="false" ht="15" hidden="false" customHeight="false" outlineLevel="0" collapsed="false">
      <c r="A293" s="31"/>
      <c r="B293" s="32"/>
      <c r="C293" s="8" t="str">
        <f aca="false">IF(B293="","",IFERROR(INDEX(Checklist!$E:$E,MATCH(B293,Checklist!$A:$A,0)),"ID não encontrado"))</f>
        <v/>
      </c>
      <c r="D293" s="33"/>
      <c r="E293" s="32"/>
    </row>
    <row r="294" customFormat="false" ht="15" hidden="false" customHeight="false" outlineLevel="0" collapsed="false">
      <c r="A294" s="31"/>
      <c r="B294" s="32"/>
      <c r="C294" s="8" t="str">
        <f aca="false">IF(B294="","",IFERROR(INDEX(Checklist!$E:$E,MATCH(B294,Checklist!$A:$A,0)),"ID não encontrado"))</f>
        <v/>
      </c>
      <c r="D294" s="33"/>
      <c r="E294" s="32"/>
    </row>
    <row r="295" customFormat="false" ht="15" hidden="false" customHeight="false" outlineLevel="0" collapsed="false">
      <c r="A295" s="31"/>
      <c r="B295" s="32"/>
      <c r="C295" s="8" t="str">
        <f aca="false">IF(B295="","",IFERROR(INDEX(Checklist!$E:$E,MATCH(B295,Checklist!$A:$A,0)),"ID não encontrado"))</f>
        <v/>
      </c>
      <c r="D295" s="33"/>
      <c r="E295" s="32"/>
    </row>
    <row r="296" customFormat="false" ht="15" hidden="false" customHeight="false" outlineLevel="0" collapsed="false">
      <c r="A296" s="31"/>
      <c r="B296" s="32"/>
      <c r="C296" s="8" t="str">
        <f aca="false">IF(B296="","",IFERROR(INDEX(Checklist!$E:$E,MATCH(B296,Checklist!$A:$A,0)),"ID não encontrado"))</f>
        <v/>
      </c>
      <c r="D296" s="33"/>
      <c r="E296" s="32"/>
    </row>
    <row r="297" customFormat="false" ht="15" hidden="false" customHeight="false" outlineLevel="0" collapsed="false">
      <c r="A297" s="31"/>
      <c r="B297" s="32"/>
      <c r="C297" s="8" t="str">
        <f aca="false">IF(B297="","",IFERROR(INDEX(Checklist!$E:$E,MATCH(B297,Checklist!$A:$A,0)),"ID não encontrado"))</f>
        <v/>
      </c>
      <c r="D297" s="33"/>
      <c r="E297" s="32"/>
    </row>
    <row r="298" customFormat="false" ht="15" hidden="false" customHeight="false" outlineLevel="0" collapsed="false">
      <c r="A298" s="31"/>
      <c r="B298" s="32"/>
      <c r="C298" s="8" t="str">
        <f aca="false">IF(B298="","",IFERROR(INDEX(Checklist!$E:$E,MATCH(B298,Checklist!$A:$A,0)),"ID não encontrado"))</f>
        <v/>
      </c>
      <c r="D298" s="33"/>
      <c r="E298" s="32"/>
    </row>
    <row r="299" customFormat="false" ht="15" hidden="false" customHeight="false" outlineLevel="0" collapsed="false">
      <c r="A299" s="31"/>
      <c r="B299" s="32"/>
      <c r="C299" s="8" t="str">
        <f aca="false">IF(B299="","",IFERROR(INDEX(Checklist!$E:$E,MATCH(B299,Checklist!$A:$A,0)),"ID não encontrado"))</f>
        <v/>
      </c>
      <c r="D299" s="33"/>
      <c r="E299" s="32"/>
    </row>
    <row r="300" customFormat="false" ht="15" hidden="false" customHeight="false" outlineLevel="0" collapsed="false">
      <c r="A300" s="31"/>
      <c r="B300" s="32"/>
      <c r="C300" s="8" t="str">
        <f aca="false">IF(B300="","",IFERROR(INDEX(Checklist!$E:$E,MATCH(B300,Checklist!$A:$A,0)),"ID não encontrado"))</f>
        <v/>
      </c>
      <c r="D300" s="33"/>
      <c r="E300" s="32"/>
    </row>
    <row r="301" customFormat="false" ht="15" hidden="false" customHeight="false" outlineLevel="0" collapsed="false">
      <c r="A301" s="31"/>
      <c r="B301" s="32"/>
      <c r="C301" s="8" t="str">
        <f aca="false">IF(B301="","",IFERROR(INDEX(Checklist!$E:$E,MATCH(B301,Checklist!$A:$A,0)),"ID não encontrado"))</f>
        <v/>
      </c>
      <c r="D301" s="33"/>
      <c r="E301" s="32"/>
    </row>
    <row r="302" customFormat="false" ht="15" hidden="false" customHeight="false" outlineLevel="0" collapsed="false">
      <c r="A302" s="31"/>
      <c r="B302" s="32"/>
      <c r="C302" s="8" t="str">
        <f aca="false">IF(B302="","",IFERROR(INDEX(Checklist!$E:$E,MATCH(B302,Checklist!$A:$A,0)),"ID não encontrado"))</f>
        <v/>
      </c>
      <c r="D302" s="33"/>
      <c r="E302" s="32"/>
    </row>
    <row r="303" customFormat="false" ht="15" hidden="false" customHeight="false" outlineLevel="0" collapsed="false">
      <c r="A303" s="31"/>
      <c r="B303" s="32"/>
      <c r="C303" s="8" t="str">
        <f aca="false">IF(B303="","",IFERROR(INDEX(Checklist!$E:$E,MATCH(B303,Checklist!$A:$A,0)),"ID não encontrado"))</f>
        <v/>
      </c>
      <c r="D303" s="33"/>
      <c r="E303" s="32"/>
    </row>
    <row r="304" customFormat="false" ht="15" hidden="false" customHeight="false" outlineLevel="0" collapsed="false">
      <c r="A304" s="31"/>
      <c r="B304" s="32"/>
      <c r="C304" s="8" t="str">
        <f aca="false">IF(B304="","",IFERROR(INDEX(Checklist!$E:$E,MATCH(B304,Checklist!$A:$A,0)),"ID não encontrado"))</f>
        <v/>
      </c>
      <c r="D304" s="33"/>
      <c r="E304" s="32"/>
    </row>
    <row r="305" customFormat="false" ht="15" hidden="false" customHeight="false" outlineLevel="0" collapsed="false">
      <c r="A305" s="31"/>
      <c r="B305" s="32"/>
      <c r="C305" s="8" t="str">
        <f aca="false">IF(B305="","",IFERROR(INDEX(Checklist!$E:$E,MATCH(B305,Checklist!$A:$A,0)),"ID não encontrado"))</f>
        <v/>
      </c>
      <c r="D305" s="33"/>
      <c r="E305" s="32"/>
    </row>
    <row r="306" customFormat="false" ht="15" hidden="false" customHeight="false" outlineLevel="0" collapsed="false">
      <c r="A306" s="31"/>
      <c r="B306" s="32"/>
      <c r="C306" s="8" t="str">
        <f aca="false">IF(B306="","",IFERROR(INDEX(Checklist!$E:$E,MATCH(B306,Checklist!$A:$A,0)),"ID não encontrado"))</f>
        <v/>
      </c>
      <c r="D306" s="33"/>
      <c r="E306" s="32"/>
    </row>
    <row r="307" customFormat="false" ht="15" hidden="false" customHeight="false" outlineLevel="0" collapsed="false">
      <c r="A307" s="31"/>
      <c r="B307" s="32"/>
      <c r="C307" s="8" t="str">
        <f aca="false">IF(B307="","",IFERROR(INDEX(Checklist!$E:$E,MATCH(B307,Checklist!$A:$A,0)),"ID não encontrado"))</f>
        <v/>
      </c>
      <c r="D307" s="33"/>
      <c r="E307" s="32"/>
    </row>
    <row r="308" customFormat="false" ht="15" hidden="false" customHeight="false" outlineLevel="0" collapsed="false">
      <c r="A308" s="31"/>
      <c r="B308" s="32"/>
      <c r="C308" s="8" t="str">
        <f aca="false">IF(B308="","",IFERROR(INDEX(Checklist!$E:$E,MATCH(B308,Checklist!$A:$A,0)),"ID não encontrado"))</f>
        <v/>
      </c>
      <c r="D308" s="33"/>
      <c r="E308" s="32"/>
    </row>
    <row r="309" customFormat="false" ht="15" hidden="false" customHeight="false" outlineLevel="0" collapsed="false">
      <c r="A309" s="31"/>
      <c r="B309" s="32"/>
      <c r="C309" s="8" t="str">
        <f aca="false">IF(B309="","",IFERROR(INDEX(Checklist!$E:$E,MATCH(B309,Checklist!$A:$A,0)),"ID não encontrado"))</f>
        <v/>
      </c>
      <c r="D309" s="33"/>
      <c r="E309" s="32"/>
    </row>
    <row r="310" customFormat="false" ht="15" hidden="false" customHeight="false" outlineLevel="0" collapsed="false">
      <c r="A310" s="31"/>
      <c r="B310" s="32"/>
      <c r="C310" s="8" t="str">
        <f aca="false">IF(B310="","",IFERROR(INDEX(Checklist!$E:$E,MATCH(B310,Checklist!$A:$A,0)),"ID não encontrado"))</f>
        <v/>
      </c>
      <c r="D310" s="33"/>
      <c r="E310" s="32"/>
    </row>
    <row r="311" customFormat="false" ht="15" hidden="false" customHeight="false" outlineLevel="0" collapsed="false">
      <c r="A311" s="31"/>
      <c r="B311" s="32"/>
      <c r="C311" s="8" t="str">
        <f aca="false">IF(B311="","",IFERROR(INDEX(Checklist!$E:$E,MATCH(B311,Checklist!$A:$A,0)),"ID não encontrado"))</f>
        <v/>
      </c>
      <c r="D311" s="33"/>
      <c r="E311" s="32"/>
    </row>
    <row r="312" customFormat="false" ht="15" hidden="false" customHeight="false" outlineLevel="0" collapsed="false">
      <c r="A312" s="31"/>
      <c r="B312" s="32"/>
      <c r="C312" s="8" t="str">
        <f aca="false">IF(B312="","",IFERROR(INDEX(Checklist!$E:$E,MATCH(B312,Checklist!$A:$A,0)),"ID não encontrado"))</f>
        <v/>
      </c>
      <c r="D312" s="33"/>
      <c r="E312" s="32"/>
    </row>
    <row r="313" customFormat="false" ht="15" hidden="false" customHeight="false" outlineLevel="0" collapsed="false">
      <c r="A313" s="31"/>
      <c r="B313" s="32"/>
      <c r="C313" s="8" t="str">
        <f aca="false">IF(B313="","",IFERROR(INDEX(Checklist!$E:$E,MATCH(B313,Checklist!$A:$A,0)),"ID não encontrado"))</f>
        <v/>
      </c>
      <c r="D313" s="33"/>
      <c r="E313" s="32"/>
    </row>
    <row r="314" customFormat="false" ht="15" hidden="false" customHeight="false" outlineLevel="0" collapsed="false">
      <c r="A314" s="31"/>
      <c r="B314" s="32"/>
      <c r="C314" s="8" t="str">
        <f aca="false">IF(B314="","",IFERROR(INDEX(Checklist!$E:$E,MATCH(B314,Checklist!$A:$A,0)),"ID não encontrado"))</f>
        <v/>
      </c>
      <c r="D314" s="33"/>
      <c r="E314" s="32"/>
    </row>
    <row r="315" customFormat="false" ht="15" hidden="false" customHeight="false" outlineLevel="0" collapsed="false">
      <c r="A315" s="31"/>
      <c r="B315" s="32"/>
      <c r="C315" s="8" t="str">
        <f aca="false">IF(B315="","",IFERROR(INDEX(Checklist!$E:$E,MATCH(B315,Checklist!$A:$A,0)),"ID não encontrado"))</f>
        <v/>
      </c>
      <c r="D315" s="33"/>
      <c r="E315" s="32"/>
    </row>
    <row r="316" customFormat="false" ht="15" hidden="false" customHeight="false" outlineLevel="0" collapsed="false">
      <c r="A316" s="31"/>
      <c r="B316" s="32"/>
      <c r="C316" s="8" t="str">
        <f aca="false">IF(B316="","",IFERROR(INDEX(Checklist!$E:$E,MATCH(B316,Checklist!$A:$A,0)),"ID não encontrado"))</f>
        <v/>
      </c>
      <c r="D316" s="33"/>
      <c r="E316" s="32"/>
    </row>
    <row r="317" customFormat="false" ht="15" hidden="false" customHeight="false" outlineLevel="0" collapsed="false">
      <c r="A317" s="31"/>
      <c r="B317" s="32"/>
      <c r="C317" s="8" t="str">
        <f aca="false">IF(B317="","",IFERROR(INDEX(Checklist!$E:$E,MATCH(B317,Checklist!$A:$A,0)),"ID não encontrado"))</f>
        <v/>
      </c>
      <c r="D317" s="33"/>
      <c r="E317" s="32"/>
    </row>
    <row r="318" customFormat="false" ht="15" hidden="false" customHeight="false" outlineLevel="0" collapsed="false">
      <c r="A318" s="31"/>
      <c r="B318" s="32"/>
      <c r="C318" s="8" t="str">
        <f aca="false">IF(B318="","",IFERROR(INDEX(Checklist!$E:$E,MATCH(B318,Checklist!$A:$A,0)),"ID não encontrado"))</f>
        <v/>
      </c>
      <c r="D318" s="33"/>
      <c r="E318" s="32"/>
    </row>
    <row r="319" customFormat="false" ht="15" hidden="false" customHeight="false" outlineLevel="0" collapsed="false">
      <c r="A319" s="31"/>
      <c r="B319" s="32"/>
      <c r="C319" s="8" t="str">
        <f aca="false">IF(B319="","",IFERROR(INDEX(Checklist!$E:$E,MATCH(B319,Checklist!$A:$A,0)),"ID não encontrado"))</f>
        <v/>
      </c>
      <c r="D319" s="33"/>
      <c r="E319" s="32"/>
    </row>
    <row r="320" customFormat="false" ht="15" hidden="false" customHeight="false" outlineLevel="0" collapsed="false">
      <c r="A320" s="31"/>
      <c r="B320" s="32"/>
      <c r="C320" s="8" t="str">
        <f aca="false">IF(B320="","",IFERROR(INDEX(Checklist!$E:$E,MATCH(B320,Checklist!$A:$A,0)),"ID não encontrado"))</f>
        <v/>
      </c>
      <c r="D320" s="33"/>
      <c r="E320" s="32"/>
    </row>
    <row r="321" customFormat="false" ht="15" hidden="false" customHeight="false" outlineLevel="0" collapsed="false">
      <c r="A321" s="31"/>
      <c r="B321" s="32"/>
      <c r="C321" s="8" t="str">
        <f aca="false">IF(B321="","",IFERROR(INDEX(Checklist!$E:$E,MATCH(B321,Checklist!$A:$A,0)),"ID não encontrado"))</f>
        <v/>
      </c>
      <c r="D321" s="33"/>
      <c r="E321" s="32"/>
    </row>
    <row r="322" customFormat="false" ht="15" hidden="false" customHeight="false" outlineLevel="0" collapsed="false">
      <c r="A322" s="31"/>
      <c r="B322" s="32"/>
      <c r="C322" s="8" t="str">
        <f aca="false">IF(B322="","",IFERROR(INDEX(Checklist!$E:$E,MATCH(B322,Checklist!$A:$A,0)),"ID não encontrado"))</f>
        <v/>
      </c>
      <c r="D322" s="33"/>
      <c r="E322" s="32"/>
    </row>
    <row r="323" customFormat="false" ht="15" hidden="false" customHeight="false" outlineLevel="0" collapsed="false">
      <c r="A323" s="31"/>
      <c r="B323" s="32"/>
      <c r="C323" s="8" t="str">
        <f aca="false">IF(B323="","",IFERROR(INDEX(Checklist!$E:$E,MATCH(B323,Checklist!$A:$A,0)),"ID não encontrado"))</f>
        <v/>
      </c>
      <c r="D323" s="33"/>
      <c r="E323" s="32"/>
    </row>
    <row r="324" customFormat="false" ht="15" hidden="false" customHeight="false" outlineLevel="0" collapsed="false">
      <c r="A324" s="31"/>
      <c r="B324" s="32"/>
      <c r="C324" s="8" t="str">
        <f aca="false">IF(B324="","",IFERROR(INDEX(Checklist!$E:$E,MATCH(B324,Checklist!$A:$A,0)),"ID não encontrado"))</f>
        <v/>
      </c>
      <c r="D324" s="33"/>
      <c r="E324" s="32"/>
    </row>
    <row r="325" customFormat="false" ht="15" hidden="false" customHeight="false" outlineLevel="0" collapsed="false">
      <c r="A325" s="31"/>
      <c r="B325" s="32"/>
      <c r="C325" s="8" t="str">
        <f aca="false">IF(B325="","",IFERROR(INDEX(Checklist!$E:$E,MATCH(B325,Checklist!$A:$A,0)),"ID não encontrado"))</f>
        <v/>
      </c>
      <c r="D325" s="33"/>
      <c r="E325" s="32"/>
    </row>
    <row r="326" customFormat="false" ht="15" hidden="false" customHeight="false" outlineLevel="0" collapsed="false">
      <c r="A326" s="31"/>
      <c r="B326" s="32"/>
      <c r="C326" s="8" t="str">
        <f aca="false">IF(B326="","",IFERROR(INDEX(Checklist!$E:$E,MATCH(B326,Checklist!$A:$A,0)),"ID não encontrado"))</f>
        <v/>
      </c>
      <c r="D326" s="33"/>
      <c r="E326" s="32"/>
    </row>
    <row r="327" customFormat="false" ht="15" hidden="false" customHeight="false" outlineLevel="0" collapsed="false">
      <c r="A327" s="31"/>
      <c r="B327" s="32"/>
      <c r="C327" s="8" t="str">
        <f aca="false">IF(B327="","",IFERROR(INDEX(Checklist!$E:$E,MATCH(B327,Checklist!$A:$A,0)),"ID não encontrado"))</f>
        <v/>
      </c>
      <c r="D327" s="33"/>
      <c r="E327" s="32"/>
    </row>
    <row r="328" customFormat="false" ht="15" hidden="false" customHeight="false" outlineLevel="0" collapsed="false">
      <c r="A328" s="31"/>
      <c r="B328" s="32"/>
      <c r="C328" s="8" t="str">
        <f aca="false">IF(B328="","",IFERROR(INDEX(Checklist!$E:$E,MATCH(B328,Checklist!$A:$A,0)),"ID não encontrado"))</f>
        <v/>
      </c>
      <c r="D328" s="33"/>
      <c r="E328" s="32"/>
    </row>
    <row r="329" customFormat="false" ht="15" hidden="false" customHeight="false" outlineLevel="0" collapsed="false">
      <c r="A329" s="31"/>
      <c r="B329" s="32"/>
      <c r="C329" s="8" t="str">
        <f aca="false">IF(B329="","",IFERROR(INDEX(Checklist!$E:$E,MATCH(B329,Checklist!$A:$A,0)),"ID não encontrado"))</f>
        <v/>
      </c>
      <c r="D329" s="33"/>
      <c r="E329" s="32"/>
    </row>
    <row r="330" customFormat="false" ht="15" hidden="false" customHeight="false" outlineLevel="0" collapsed="false">
      <c r="A330" s="31"/>
      <c r="B330" s="32"/>
      <c r="C330" s="8" t="str">
        <f aca="false">IF(B330="","",IFERROR(INDEX(Checklist!$E:$E,MATCH(B330,Checklist!$A:$A,0)),"ID não encontrado"))</f>
        <v/>
      </c>
      <c r="D330" s="33"/>
      <c r="E330" s="32"/>
    </row>
    <row r="331" customFormat="false" ht="15" hidden="false" customHeight="false" outlineLevel="0" collapsed="false">
      <c r="A331" s="31"/>
      <c r="B331" s="32"/>
      <c r="C331" s="8" t="str">
        <f aca="false">IF(B331="","",IFERROR(INDEX(Checklist!$E:$E,MATCH(B331,Checklist!$A:$A,0)),"ID não encontrado"))</f>
        <v/>
      </c>
      <c r="D331" s="33"/>
      <c r="E331" s="32"/>
    </row>
    <row r="332" customFormat="false" ht="15" hidden="false" customHeight="false" outlineLevel="0" collapsed="false">
      <c r="A332" s="31"/>
      <c r="B332" s="32"/>
      <c r="C332" s="8" t="str">
        <f aca="false">IF(B332="","",IFERROR(INDEX(Checklist!$E:$E,MATCH(B332,Checklist!$A:$A,0)),"ID não encontrado"))</f>
        <v/>
      </c>
      <c r="D332" s="33"/>
      <c r="E332" s="32"/>
    </row>
    <row r="333" customFormat="false" ht="15" hidden="false" customHeight="false" outlineLevel="0" collapsed="false">
      <c r="A333" s="31"/>
      <c r="B333" s="32"/>
      <c r="C333" s="8" t="str">
        <f aca="false">IF(B333="","",IFERROR(INDEX(Checklist!$E:$E,MATCH(B333,Checklist!$A:$A,0)),"ID não encontrado"))</f>
        <v/>
      </c>
      <c r="D333" s="33"/>
      <c r="E333" s="32"/>
    </row>
    <row r="334" customFormat="false" ht="15" hidden="false" customHeight="false" outlineLevel="0" collapsed="false">
      <c r="A334" s="31"/>
      <c r="B334" s="32"/>
      <c r="C334" s="8" t="str">
        <f aca="false">IF(B334="","",IFERROR(INDEX(Checklist!$E:$E,MATCH(B334,Checklist!$A:$A,0)),"ID não encontrado"))</f>
        <v/>
      </c>
      <c r="D334" s="33"/>
      <c r="E334" s="32"/>
    </row>
    <row r="335" customFormat="false" ht="15" hidden="false" customHeight="false" outlineLevel="0" collapsed="false">
      <c r="A335" s="31"/>
      <c r="B335" s="32"/>
      <c r="C335" s="8" t="str">
        <f aca="false">IF(B335="","",IFERROR(INDEX(Checklist!$E:$E,MATCH(B335,Checklist!$A:$A,0)),"ID não encontrado"))</f>
        <v/>
      </c>
      <c r="D335" s="33"/>
      <c r="E335" s="32"/>
    </row>
    <row r="336" customFormat="false" ht="15" hidden="false" customHeight="false" outlineLevel="0" collapsed="false">
      <c r="A336" s="31"/>
      <c r="B336" s="32"/>
      <c r="C336" s="8" t="str">
        <f aca="false">IF(B336="","",IFERROR(INDEX(Checklist!$E:$E,MATCH(B336,Checklist!$A:$A,0)),"ID não encontrado"))</f>
        <v/>
      </c>
      <c r="D336" s="33"/>
      <c r="E336" s="32"/>
    </row>
    <row r="337" customFormat="false" ht="15" hidden="false" customHeight="false" outlineLevel="0" collapsed="false">
      <c r="A337" s="31"/>
      <c r="B337" s="32"/>
      <c r="C337" s="8" t="str">
        <f aca="false">IF(B337="","",IFERROR(INDEX(Checklist!$E:$E,MATCH(B337,Checklist!$A:$A,0)),"ID não encontrado"))</f>
        <v/>
      </c>
      <c r="D337" s="33"/>
      <c r="E337" s="32"/>
    </row>
    <row r="338" customFormat="false" ht="15" hidden="false" customHeight="false" outlineLevel="0" collapsed="false">
      <c r="A338" s="31"/>
      <c r="B338" s="32"/>
      <c r="C338" s="8" t="str">
        <f aca="false">IF(B338="","",IFERROR(INDEX(Checklist!$E:$E,MATCH(B338,Checklist!$A:$A,0)),"ID não encontrado"))</f>
        <v/>
      </c>
      <c r="D338" s="33"/>
      <c r="E338" s="32"/>
    </row>
    <row r="339" customFormat="false" ht="15" hidden="false" customHeight="false" outlineLevel="0" collapsed="false">
      <c r="A339" s="31"/>
      <c r="B339" s="32"/>
      <c r="C339" s="8" t="str">
        <f aca="false">IF(B339="","",IFERROR(INDEX(Checklist!$E:$E,MATCH(B339,Checklist!$A:$A,0)),"ID não encontrado"))</f>
        <v/>
      </c>
      <c r="D339" s="33"/>
      <c r="E339" s="32"/>
    </row>
    <row r="340" customFormat="false" ht="15" hidden="false" customHeight="false" outlineLevel="0" collapsed="false">
      <c r="A340" s="31"/>
      <c r="B340" s="32"/>
      <c r="C340" s="8" t="str">
        <f aca="false">IF(B340="","",IFERROR(INDEX(Checklist!$E:$E,MATCH(B340,Checklist!$A:$A,0)),"ID não encontrado"))</f>
        <v/>
      </c>
      <c r="D340" s="33"/>
      <c r="E340" s="32"/>
    </row>
    <row r="341" customFormat="false" ht="15" hidden="false" customHeight="false" outlineLevel="0" collapsed="false">
      <c r="A341" s="31"/>
      <c r="B341" s="32"/>
      <c r="C341" s="8" t="str">
        <f aca="false">IF(B341="","",IFERROR(INDEX(Checklist!$E:$E,MATCH(B341,Checklist!$A:$A,0)),"ID não encontrado"))</f>
        <v/>
      </c>
      <c r="D341" s="33"/>
      <c r="E341" s="32"/>
    </row>
    <row r="342" customFormat="false" ht="15" hidden="false" customHeight="false" outlineLevel="0" collapsed="false">
      <c r="A342" s="31"/>
      <c r="B342" s="32"/>
      <c r="C342" s="8" t="str">
        <f aca="false">IF(B342="","",IFERROR(INDEX(Checklist!$E:$E,MATCH(B342,Checklist!$A:$A,0)),"ID não encontrado"))</f>
        <v/>
      </c>
      <c r="D342" s="33"/>
      <c r="E342" s="32"/>
    </row>
    <row r="343" customFormat="false" ht="15" hidden="false" customHeight="false" outlineLevel="0" collapsed="false">
      <c r="A343" s="31"/>
      <c r="B343" s="32"/>
      <c r="C343" s="8" t="str">
        <f aca="false">IF(B343="","",IFERROR(INDEX(Checklist!$E:$E,MATCH(B343,Checklist!$A:$A,0)),"ID não encontrado"))</f>
        <v/>
      </c>
      <c r="D343" s="33"/>
      <c r="E343" s="32"/>
    </row>
    <row r="344" customFormat="false" ht="15" hidden="false" customHeight="false" outlineLevel="0" collapsed="false">
      <c r="A344" s="31"/>
      <c r="B344" s="32"/>
      <c r="C344" s="8" t="str">
        <f aca="false">IF(B344="","",IFERROR(INDEX(Checklist!$E:$E,MATCH(B344,Checklist!$A:$A,0)),"ID não encontrado"))</f>
        <v/>
      </c>
      <c r="D344" s="33"/>
      <c r="E344" s="32"/>
    </row>
    <row r="345" customFormat="false" ht="15" hidden="false" customHeight="false" outlineLevel="0" collapsed="false">
      <c r="A345" s="31"/>
      <c r="B345" s="32"/>
      <c r="C345" s="8" t="str">
        <f aca="false">IF(B345="","",IFERROR(INDEX(Checklist!$E:$E,MATCH(B345,Checklist!$A:$A,0)),"ID não encontrado"))</f>
        <v/>
      </c>
      <c r="D345" s="33"/>
      <c r="E345" s="32"/>
    </row>
    <row r="346" customFormat="false" ht="15" hidden="false" customHeight="false" outlineLevel="0" collapsed="false">
      <c r="A346" s="31"/>
      <c r="B346" s="32"/>
      <c r="C346" s="8" t="str">
        <f aca="false">IF(B346="","",IFERROR(INDEX(Checklist!$E:$E,MATCH(B346,Checklist!$A:$A,0)),"ID não encontrado"))</f>
        <v/>
      </c>
      <c r="D346" s="33"/>
      <c r="E346" s="32"/>
    </row>
    <row r="347" customFormat="false" ht="15" hidden="false" customHeight="false" outlineLevel="0" collapsed="false">
      <c r="A347" s="31"/>
      <c r="B347" s="32"/>
      <c r="C347" s="8" t="str">
        <f aca="false">IF(B347="","",IFERROR(INDEX(Checklist!$E:$E,MATCH(B347,Checklist!$A:$A,0)),"ID não encontrado"))</f>
        <v/>
      </c>
      <c r="D347" s="33"/>
      <c r="E347" s="32"/>
    </row>
    <row r="348" customFormat="false" ht="15" hidden="false" customHeight="false" outlineLevel="0" collapsed="false">
      <c r="A348" s="31"/>
      <c r="B348" s="32"/>
      <c r="C348" s="8" t="str">
        <f aca="false">IF(B348="","",IFERROR(INDEX(Checklist!$E:$E,MATCH(B348,Checklist!$A:$A,0)),"ID não encontrado"))</f>
        <v/>
      </c>
      <c r="D348" s="33"/>
      <c r="E348" s="32"/>
    </row>
    <row r="349" customFormat="false" ht="15" hidden="false" customHeight="false" outlineLevel="0" collapsed="false">
      <c r="A349" s="31"/>
      <c r="B349" s="32"/>
      <c r="C349" s="8" t="str">
        <f aca="false">IF(B349="","",IFERROR(INDEX(Checklist!$E:$E,MATCH(B349,Checklist!$A:$A,0)),"ID não encontrado"))</f>
        <v/>
      </c>
      <c r="D349" s="33"/>
      <c r="E349" s="32"/>
    </row>
    <row r="350" customFormat="false" ht="15" hidden="false" customHeight="false" outlineLevel="0" collapsed="false">
      <c r="A350" s="31"/>
      <c r="B350" s="32"/>
      <c r="C350" s="8" t="str">
        <f aca="false">IF(B350="","",IFERROR(INDEX(Checklist!$E:$E,MATCH(B350,Checklist!$A:$A,0)),"ID não encontrado"))</f>
        <v/>
      </c>
      <c r="D350" s="33"/>
      <c r="E350" s="32"/>
    </row>
    <row r="351" customFormat="false" ht="15" hidden="false" customHeight="false" outlineLevel="0" collapsed="false">
      <c r="A351" s="31"/>
      <c r="B351" s="32"/>
      <c r="C351" s="8" t="str">
        <f aca="false">IF(B351="","",IFERROR(INDEX(Checklist!$E:$E,MATCH(B351,Checklist!$A:$A,0)),"ID não encontrado"))</f>
        <v/>
      </c>
      <c r="D351" s="33"/>
      <c r="E351" s="32"/>
    </row>
    <row r="352" customFormat="false" ht="15" hidden="false" customHeight="false" outlineLevel="0" collapsed="false">
      <c r="A352" s="31"/>
      <c r="B352" s="32"/>
      <c r="C352" s="8" t="str">
        <f aca="false">IF(B352="","",IFERROR(INDEX(Checklist!$E:$E,MATCH(B352,Checklist!$A:$A,0)),"ID não encontrado"))</f>
        <v/>
      </c>
      <c r="D352" s="33"/>
      <c r="E352" s="32"/>
    </row>
    <row r="353" customFormat="false" ht="15" hidden="false" customHeight="false" outlineLevel="0" collapsed="false">
      <c r="A353" s="31"/>
      <c r="B353" s="32"/>
      <c r="C353" s="8" t="str">
        <f aca="false">IF(B353="","",IFERROR(INDEX(Checklist!$E:$E,MATCH(B353,Checklist!$A:$A,0)),"ID não encontrado"))</f>
        <v/>
      </c>
      <c r="D353" s="33"/>
      <c r="E353" s="32"/>
    </row>
    <row r="354" customFormat="false" ht="15" hidden="false" customHeight="false" outlineLevel="0" collapsed="false">
      <c r="A354" s="31"/>
      <c r="B354" s="32"/>
      <c r="C354" s="8" t="str">
        <f aca="false">IF(B354="","",IFERROR(INDEX(Checklist!$E:$E,MATCH(B354,Checklist!$A:$A,0)),"ID não encontrado"))</f>
        <v/>
      </c>
      <c r="D354" s="33"/>
      <c r="E354" s="32"/>
    </row>
    <row r="355" customFormat="false" ht="15" hidden="false" customHeight="false" outlineLevel="0" collapsed="false">
      <c r="A355" s="31"/>
      <c r="B355" s="32"/>
      <c r="C355" s="8" t="str">
        <f aca="false">IF(B355="","",IFERROR(INDEX(Checklist!$E:$E,MATCH(B355,Checklist!$A:$A,0)),"ID não encontrado"))</f>
        <v/>
      </c>
      <c r="D355" s="33"/>
      <c r="E355" s="32"/>
    </row>
    <row r="356" customFormat="false" ht="15" hidden="false" customHeight="false" outlineLevel="0" collapsed="false">
      <c r="A356" s="31"/>
      <c r="B356" s="32"/>
      <c r="C356" s="8" t="str">
        <f aca="false">IF(B356="","",IFERROR(INDEX(Checklist!$E:$E,MATCH(B356,Checklist!$A:$A,0)),"ID não encontrado"))</f>
        <v/>
      </c>
      <c r="D356" s="33"/>
      <c r="E356" s="32"/>
    </row>
    <row r="357" customFormat="false" ht="15" hidden="false" customHeight="false" outlineLevel="0" collapsed="false">
      <c r="A357" s="31"/>
      <c r="B357" s="32"/>
      <c r="C357" s="8" t="str">
        <f aca="false">IF(B357="","",IFERROR(INDEX(Checklist!$E:$E,MATCH(B357,Checklist!$A:$A,0)),"ID não encontrado"))</f>
        <v/>
      </c>
      <c r="D357" s="33"/>
      <c r="E357" s="32"/>
    </row>
    <row r="358" customFormat="false" ht="15" hidden="false" customHeight="false" outlineLevel="0" collapsed="false">
      <c r="A358" s="31"/>
      <c r="B358" s="32"/>
      <c r="C358" s="8" t="str">
        <f aca="false">IF(B358="","",IFERROR(INDEX(Checklist!$E:$E,MATCH(B358,Checklist!$A:$A,0)),"ID não encontrado"))</f>
        <v/>
      </c>
      <c r="D358" s="33"/>
      <c r="E358" s="32"/>
    </row>
    <row r="359" customFormat="false" ht="15" hidden="false" customHeight="false" outlineLevel="0" collapsed="false">
      <c r="A359" s="31"/>
      <c r="B359" s="32"/>
      <c r="C359" s="8" t="str">
        <f aca="false">IF(B359="","",IFERROR(INDEX(Checklist!$E:$E,MATCH(B359,Checklist!$A:$A,0)),"ID não encontrado"))</f>
        <v/>
      </c>
      <c r="D359" s="33"/>
      <c r="E359" s="32"/>
    </row>
    <row r="360" customFormat="false" ht="15" hidden="false" customHeight="false" outlineLevel="0" collapsed="false">
      <c r="A360" s="31"/>
      <c r="B360" s="32"/>
      <c r="C360" s="8" t="str">
        <f aca="false">IF(B360="","",IFERROR(INDEX(Checklist!$E:$E,MATCH(B360,Checklist!$A:$A,0)),"ID não encontrado"))</f>
        <v/>
      </c>
      <c r="D360" s="33"/>
      <c r="E360" s="32"/>
    </row>
    <row r="361" customFormat="false" ht="15" hidden="false" customHeight="false" outlineLevel="0" collapsed="false">
      <c r="A361" s="31"/>
      <c r="B361" s="32"/>
      <c r="C361" s="8" t="str">
        <f aca="false">IF(B361="","",IFERROR(INDEX(Checklist!$E:$E,MATCH(B361,Checklist!$A:$A,0)),"ID não encontrado"))</f>
        <v/>
      </c>
      <c r="D361" s="33"/>
      <c r="E361" s="32"/>
    </row>
    <row r="362" customFormat="false" ht="15" hidden="false" customHeight="false" outlineLevel="0" collapsed="false">
      <c r="A362" s="31"/>
      <c r="B362" s="32"/>
      <c r="C362" s="8" t="str">
        <f aca="false">IF(B362="","",IFERROR(INDEX(Checklist!$E:$E,MATCH(B362,Checklist!$A:$A,0)),"ID não encontrado"))</f>
        <v/>
      </c>
      <c r="D362" s="33"/>
      <c r="E362" s="32"/>
    </row>
    <row r="363" customFormat="false" ht="15" hidden="false" customHeight="false" outlineLevel="0" collapsed="false">
      <c r="A363" s="31"/>
      <c r="B363" s="32"/>
      <c r="C363" s="8" t="str">
        <f aca="false">IF(B363="","",IFERROR(INDEX(Checklist!$E:$E,MATCH(B363,Checklist!$A:$A,0)),"ID não encontrado"))</f>
        <v/>
      </c>
      <c r="D363" s="33"/>
      <c r="E363" s="32"/>
    </row>
    <row r="364" customFormat="false" ht="15" hidden="false" customHeight="false" outlineLevel="0" collapsed="false">
      <c r="A364" s="31"/>
      <c r="B364" s="32"/>
      <c r="C364" s="8" t="str">
        <f aca="false">IF(B364="","",IFERROR(INDEX(Checklist!$E:$E,MATCH(B364,Checklist!$A:$A,0)),"ID não encontrado"))</f>
        <v/>
      </c>
      <c r="D364" s="33"/>
      <c r="E364" s="32"/>
    </row>
    <row r="365" customFormat="false" ht="15" hidden="false" customHeight="false" outlineLevel="0" collapsed="false">
      <c r="A365" s="31"/>
      <c r="B365" s="32"/>
      <c r="C365" s="8" t="str">
        <f aca="false">IF(B365="","",IFERROR(INDEX(Checklist!$E:$E,MATCH(B365,Checklist!$A:$A,0)),"ID não encontrado"))</f>
        <v/>
      </c>
      <c r="D365" s="33"/>
      <c r="E365" s="32"/>
    </row>
    <row r="366" customFormat="false" ht="15" hidden="false" customHeight="false" outlineLevel="0" collapsed="false">
      <c r="A366" s="31"/>
      <c r="B366" s="32"/>
      <c r="C366" s="8" t="str">
        <f aca="false">IF(B366="","",IFERROR(INDEX(Checklist!$E:$E,MATCH(B366,Checklist!$A:$A,0)),"ID não encontrado"))</f>
        <v/>
      </c>
      <c r="D366" s="33"/>
      <c r="E366" s="32"/>
    </row>
    <row r="367" customFormat="false" ht="15" hidden="false" customHeight="false" outlineLevel="0" collapsed="false">
      <c r="A367" s="31"/>
      <c r="B367" s="32"/>
      <c r="C367" s="8" t="str">
        <f aca="false">IF(B367="","",IFERROR(INDEX(Checklist!$E:$E,MATCH(B367,Checklist!$A:$A,0)),"ID não encontrado"))</f>
        <v/>
      </c>
      <c r="D367" s="33"/>
      <c r="E367" s="32"/>
    </row>
    <row r="368" customFormat="false" ht="15" hidden="false" customHeight="false" outlineLevel="0" collapsed="false">
      <c r="A368" s="31"/>
      <c r="B368" s="32"/>
      <c r="C368" s="8" t="str">
        <f aca="false">IF(B368="","",IFERROR(INDEX(Checklist!$E:$E,MATCH(B368,Checklist!$A:$A,0)),"ID não encontrado"))</f>
        <v/>
      </c>
      <c r="D368" s="33"/>
      <c r="E368" s="32"/>
    </row>
    <row r="369" customFormat="false" ht="15" hidden="false" customHeight="false" outlineLevel="0" collapsed="false">
      <c r="A369" s="31"/>
      <c r="B369" s="32"/>
      <c r="C369" s="8" t="str">
        <f aca="false">IF(B369="","",IFERROR(INDEX(Checklist!$E:$E,MATCH(B369,Checklist!$A:$A,0)),"ID não encontrado"))</f>
        <v/>
      </c>
      <c r="D369" s="33"/>
      <c r="E369" s="32"/>
    </row>
    <row r="370" customFormat="false" ht="15" hidden="false" customHeight="false" outlineLevel="0" collapsed="false">
      <c r="A370" s="31"/>
      <c r="B370" s="32"/>
      <c r="C370" s="8" t="str">
        <f aca="false">IF(B370="","",IFERROR(INDEX(Checklist!$E:$E,MATCH(B370,Checklist!$A:$A,0)),"ID não encontrado"))</f>
        <v/>
      </c>
      <c r="D370" s="33"/>
      <c r="E370" s="32"/>
    </row>
    <row r="371" customFormat="false" ht="15" hidden="false" customHeight="false" outlineLevel="0" collapsed="false">
      <c r="A371" s="31"/>
      <c r="B371" s="32"/>
      <c r="C371" s="8" t="str">
        <f aca="false">IF(B371="","",IFERROR(INDEX(Checklist!$E:$E,MATCH(B371,Checklist!$A:$A,0)),"ID não encontrado"))</f>
        <v/>
      </c>
      <c r="D371" s="33"/>
      <c r="E371" s="32"/>
    </row>
    <row r="372" customFormat="false" ht="15" hidden="false" customHeight="false" outlineLevel="0" collapsed="false">
      <c r="A372" s="31"/>
      <c r="B372" s="32"/>
      <c r="C372" s="8" t="str">
        <f aca="false">IF(B372="","",IFERROR(INDEX(Checklist!$E:$E,MATCH(B372,Checklist!$A:$A,0)),"ID não encontrado"))</f>
        <v/>
      </c>
      <c r="D372" s="33"/>
      <c r="E372" s="32"/>
    </row>
    <row r="373" customFormat="false" ht="15" hidden="false" customHeight="false" outlineLevel="0" collapsed="false">
      <c r="A373" s="31"/>
      <c r="B373" s="32"/>
      <c r="C373" s="8" t="str">
        <f aca="false">IF(B373="","",IFERROR(INDEX(Checklist!$E:$E,MATCH(B373,Checklist!$A:$A,0)),"ID não encontrado"))</f>
        <v/>
      </c>
      <c r="D373" s="33"/>
      <c r="E373" s="32"/>
    </row>
    <row r="374" customFormat="false" ht="15" hidden="false" customHeight="false" outlineLevel="0" collapsed="false">
      <c r="A374" s="31"/>
      <c r="B374" s="32"/>
      <c r="C374" s="8" t="str">
        <f aca="false">IF(B374="","",IFERROR(INDEX(Checklist!$E:$E,MATCH(B374,Checklist!$A:$A,0)),"ID não encontrado"))</f>
        <v/>
      </c>
      <c r="D374" s="33"/>
      <c r="E374" s="32"/>
    </row>
    <row r="375" customFormat="false" ht="15" hidden="false" customHeight="false" outlineLevel="0" collapsed="false">
      <c r="A375" s="31"/>
      <c r="B375" s="32"/>
      <c r="C375" s="8" t="str">
        <f aca="false">IF(B375="","",IFERROR(INDEX(Checklist!$E:$E,MATCH(B375,Checklist!$A:$A,0)),"ID não encontrado"))</f>
        <v/>
      </c>
      <c r="D375" s="33"/>
      <c r="E375" s="32"/>
    </row>
    <row r="376" customFormat="false" ht="15" hidden="false" customHeight="false" outlineLevel="0" collapsed="false">
      <c r="A376" s="31"/>
      <c r="B376" s="32"/>
      <c r="C376" s="8" t="str">
        <f aca="false">IF(B376="","",IFERROR(INDEX(Checklist!$E:$E,MATCH(B376,Checklist!$A:$A,0)),"ID não encontrado"))</f>
        <v/>
      </c>
      <c r="D376" s="33"/>
      <c r="E376" s="32"/>
    </row>
    <row r="377" customFormat="false" ht="15" hidden="false" customHeight="false" outlineLevel="0" collapsed="false">
      <c r="A377" s="31"/>
      <c r="B377" s="32"/>
      <c r="C377" s="8" t="str">
        <f aca="false">IF(B377="","",IFERROR(INDEX(Checklist!$E:$E,MATCH(B377,Checklist!$A:$A,0)),"ID não encontrado"))</f>
        <v/>
      </c>
      <c r="D377" s="33"/>
      <c r="E377" s="32"/>
    </row>
    <row r="378" customFormat="false" ht="15" hidden="false" customHeight="false" outlineLevel="0" collapsed="false">
      <c r="A378" s="31"/>
      <c r="B378" s="32"/>
      <c r="C378" s="8" t="str">
        <f aca="false">IF(B378="","",IFERROR(INDEX(Checklist!$E:$E,MATCH(B378,Checklist!$A:$A,0)),"ID não encontrado"))</f>
        <v/>
      </c>
      <c r="D378" s="33"/>
      <c r="E378" s="32"/>
    </row>
    <row r="379" customFormat="false" ht="15" hidden="false" customHeight="false" outlineLevel="0" collapsed="false">
      <c r="A379" s="31"/>
      <c r="B379" s="32"/>
      <c r="C379" s="8" t="str">
        <f aca="false">IF(B379="","",IFERROR(INDEX(Checklist!$E:$E,MATCH(B379,Checklist!$A:$A,0)),"ID não encontrado"))</f>
        <v/>
      </c>
      <c r="D379" s="33"/>
      <c r="E379" s="32"/>
    </row>
    <row r="380" customFormat="false" ht="15" hidden="false" customHeight="false" outlineLevel="0" collapsed="false">
      <c r="A380" s="31"/>
      <c r="B380" s="32"/>
      <c r="C380" s="8" t="str">
        <f aca="false">IF(B380="","",IFERROR(INDEX(Checklist!$E:$E,MATCH(B380,Checklist!$A:$A,0)),"ID não encontrado"))</f>
        <v/>
      </c>
      <c r="D380" s="33"/>
      <c r="E380" s="32"/>
    </row>
    <row r="381" customFormat="false" ht="15" hidden="false" customHeight="false" outlineLevel="0" collapsed="false">
      <c r="A381" s="31"/>
      <c r="B381" s="32"/>
      <c r="C381" s="8" t="str">
        <f aca="false">IF(B381="","",IFERROR(INDEX(Checklist!$E:$E,MATCH(B381,Checklist!$A:$A,0)),"ID não encontrado"))</f>
        <v/>
      </c>
      <c r="D381" s="33"/>
      <c r="E381" s="32"/>
    </row>
    <row r="382" customFormat="false" ht="15" hidden="false" customHeight="false" outlineLevel="0" collapsed="false">
      <c r="A382" s="31"/>
      <c r="B382" s="32"/>
      <c r="C382" s="8" t="str">
        <f aca="false">IF(B382="","",IFERROR(INDEX(Checklist!$E:$E,MATCH(B382,Checklist!$A:$A,0)),"ID não encontrado"))</f>
        <v/>
      </c>
      <c r="D382" s="33"/>
      <c r="E382" s="32"/>
    </row>
    <row r="383" customFormat="false" ht="15" hidden="false" customHeight="false" outlineLevel="0" collapsed="false">
      <c r="A383" s="31"/>
      <c r="B383" s="32"/>
      <c r="C383" s="8" t="str">
        <f aca="false">IF(B383="","",IFERROR(INDEX(Checklist!$E:$E,MATCH(B383,Checklist!$A:$A,0)),"ID não encontrado"))</f>
        <v/>
      </c>
      <c r="D383" s="33"/>
      <c r="E383" s="32"/>
    </row>
    <row r="384" customFormat="false" ht="15" hidden="false" customHeight="false" outlineLevel="0" collapsed="false">
      <c r="A384" s="31"/>
      <c r="B384" s="32"/>
      <c r="C384" s="8" t="str">
        <f aca="false">IF(B384="","",IFERROR(INDEX(Checklist!$E:$E,MATCH(B384,Checklist!$A:$A,0)),"ID não encontrado"))</f>
        <v/>
      </c>
      <c r="D384" s="33"/>
      <c r="E384" s="32"/>
    </row>
    <row r="385" customFormat="false" ht="15" hidden="false" customHeight="false" outlineLevel="0" collapsed="false">
      <c r="A385" s="31"/>
      <c r="B385" s="32"/>
      <c r="C385" s="8" t="str">
        <f aca="false">IF(B385="","",IFERROR(INDEX(Checklist!$E:$E,MATCH(B385,Checklist!$A:$A,0)),"ID não encontrado"))</f>
        <v/>
      </c>
      <c r="D385" s="33"/>
      <c r="E385" s="32"/>
    </row>
    <row r="386" customFormat="false" ht="15" hidden="false" customHeight="false" outlineLevel="0" collapsed="false">
      <c r="A386" s="31"/>
      <c r="B386" s="32"/>
      <c r="C386" s="8" t="str">
        <f aca="false">IF(B386="","",IFERROR(INDEX(Checklist!$E:$E,MATCH(B386,Checklist!$A:$A,0)),"ID não encontrado"))</f>
        <v/>
      </c>
      <c r="D386" s="33"/>
      <c r="E386" s="32"/>
    </row>
    <row r="387" customFormat="false" ht="15" hidden="false" customHeight="false" outlineLevel="0" collapsed="false">
      <c r="A387" s="31"/>
      <c r="B387" s="32"/>
      <c r="C387" s="8" t="str">
        <f aca="false">IF(B387="","",IFERROR(INDEX(Checklist!$E:$E,MATCH(B387,Checklist!$A:$A,0)),"ID não encontrado"))</f>
        <v/>
      </c>
      <c r="D387" s="33"/>
      <c r="E387" s="32"/>
    </row>
    <row r="388" customFormat="false" ht="15" hidden="false" customHeight="false" outlineLevel="0" collapsed="false">
      <c r="A388" s="31"/>
      <c r="B388" s="32"/>
      <c r="C388" s="8" t="str">
        <f aca="false">IF(B388="","",IFERROR(INDEX(Checklist!$E:$E,MATCH(B388,Checklist!$A:$A,0)),"ID não encontrado"))</f>
        <v/>
      </c>
      <c r="D388" s="33"/>
      <c r="E388" s="32"/>
    </row>
    <row r="389" customFormat="false" ht="15" hidden="false" customHeight="false" outlineLevel="0" collapsed="false">
      <c r="A389" s="31"/>
      <c r="B389" s="32"/>
      <c r="C389" s="8" t="str">
        <f aca="false">IF(B389="","",IFERROR(INDEX(Checklist!$E:$E,MATCH(B389,Checklist!$A:$A,0)),"ID não encontrado"))</f>
        <v/>
      </c>
      <c r="D389" s="33"/>
      <c r="E389" s="32"/>
    </row>
    <row r="390" customFormat="false" ht="15" hidden="false" customHeight="false" outlineLevel="0" collapsed="false">
      <c r="A390" s="31"/>
      <c r="B390" s="32"/>
      <c r="C390" s="8" t="str">
        <f aca="false">IF(B390="","",IFERROR(INDEX(Checklist!$E:$E,MATCH(B390,Checklist!$A:$A,0)),"ID não encontrado"))</f>
        <v/>
      </c>
      <c r="D390" s="33"/>
      <c r="E390" s="32"/>
    </row>
    <row r="391" customFormat="false" ht="15" hidden="false" customHeight="false" outlineLevel="0" collapsed="false">
      <c r="A391" s="31"/>
      <c r="B391" s="32"/>
      <c r="C391" s="8" t="str">
        <f aca="false">IF(B391="","",IFERROR(INDEX(Checklist!$E:$E,MATCH(B391,Checklist!$A:$A,0)),"ID não encontrado"))</f>
        <v/>
      </c>
      <c r="D391" s="33"/>
      <c r="E391" s="32"/>
    </row>
    <row r="392" customFormat="false" ht="15" hidden="false" customHeight="false" outlineLevel="0" collapsed="false">
      <c r="A392" s="31"/>
      <c r="B392" s="32"/>
      <c r="C392" s="8" t="str">
        <f aca="false">IF(B392="","",IFERROR(INDEX(Checklist!$E:$E,MATCH(B392,Checklist!$A:$A,0)),"ID não encontrado"))</f>
        <v/>
      </c>
      <c r="D392" s="33"/>
      <c r="E392" s="32"/>
    </row>
    <row r="393" customFormat="false" ht="15" hidden="false" customHeight="false" outlineLevel="0" collapsed="false">
      <c r="A393" s="31"/>
      <c r="B393" s="32"/>
      <c r="C393" s="8" t="str">
        <f aca="false">IF(B393="","",IFERROR(INDEX(Checklist!$E:$E,MATCH(B393,Checklist!$A:$A,0)),"ID não encontrado"))</f>
        <v/>
      </c>
      <c r="D393" s="33"/>
      <c r="E393" s="32"/>
    </row>
    <row r="394" customFormat="false" ht="15" hidden="false" customHeight="false" outlineLevel="0" collapsed="false">
      <c r="A394" s="31"/>
      <c r="B394" s="32"/>
      <c r="C394" s="8" t="str">
        <f aca="false">IF(B394="","",IFERROR(INDEX(Checklist!$E:$E,MATCH(B394,Checklist!$A:$A,0)),"ID não encontrado"))</f>
        <v/>
      </c>
      <c r="D394" s="33"/>
      <c r="E394" s="32"/>
    </row>
    <row r="395" customFormat="false" ht="15" hidden="false" customHeight="false" outlineLevel="0" collapsed="false">
      <c r="A395" s="31"/>
      <c r="B395" s="32"/>
      <c r="C395" s="8" t="str">
        <f aca="false">IF(B395="","",IFERROR(INDEX(Checklist!$E:$E,MATCH(B395,Checklist!$A:$A,0)),"ID não encontrado"))</f>
        <v/>
      </c>
      <c r="D395" s="33"/>
      <c r="E395" s="32"/>
    </row>
    <row r="396" customFormat="false" ht="15" hidden="false" customHeight="false" outlineLevel="0" collapsed="false">
      <c r="A396" s="31"/>
      <c r="B396" s="32"/>
      <c r="C396" s="8" t="str">
        <f aca="false">IF(B396="","",IFERROR(INDEX(Checklist!$E:$E,MATCH(B396,Checklist!$A:$A,0)),"ID não encontrado"))</f>
        <v/>
      </c>
      <c r="D396" s="33"/>
      <c r="E396" s="32"/>
    </row>
    <row r="397" customFormat="false" ht="15" hidden="false" customHeight="false" outlineLevel="0" collapsed="false">
      <c r="A397" s="31"/>
      <c r="B397" s="32"/>
      <c r="C397" s="8" t="str">
        <f aca="false">IF(B397="","",IFERROR(INDEX(Checklist!$E:$E,MATCH(B397,Checklist!$A:$A,0)),"ID não encontrado"))</f>
        <v/>
      </c>
      <c r="D397" s="33"/>
      <c r="E397" s="32"/>
    </row>
    <row r="398" customFormat="false" ht="15" hidden="false" customHeight="false" outlineLevel="0" collapsed="false">
      <c r="A398" s="31"/>
      <c r="B398" s="32"/>
      <c r="C398" s="8" t="str">
        <f aca="false">IF(B398="","",IFERROR(INDEX(Checklist!$E:$E,MATCH(B398,Checklist!$A:$A,0)),"ID não encontrado"))</f>
        <v/>
      </c>
      <c r="D398" s="33"/>
      <c r="E398" s="32"/>
    </row>
    <row r="399" customFormat="false" ht="15" hidden="false" customHeight="false" outlineLevel="0" collapsed="false">
      <c r="A399" s="31"/>
      <c r="B399" s="32"/>
      <c r="C399" s="8" t="str">
        <f aca="false">IF(B399="","",IFERROR(INDEX(Checklist!$E:$E,MATCH(B399,Checklist!$A:$A,0)),"ID não encontrado"))</f>
        <v/>
      </c>
      <c r="D399" s="33"/>
      <c r="E399" s="32"/>
    </row>
    <row r="400" customFormat="false" ht="15" hidden="false" customHeight="false" outlineLevel="0" collapsed="false">
      <c r="A400" s="31"/>
      <c r="B400" s="32"/>
      <c r="C400" s="8" t="str">
        <f aca="false">IF(B400="","",IFERROR(INDEX(Checklist!$E:$E,MATCH(B400,Checklist!$A:$A,0)),"ID não encontrado"))</f>
        <v/>
      </c>
      <c r="D400" s="33"/>
      <c r="E400" s="32"/>
    </row>
  </sheetData>
  <dataValidations count="2">
    <dataValidation allowBlank="true" errorStyle="stop" operator="between" showDropDown="false" showErrorMessage="false" showInputMessage="false" sqref="B2:B400" type="list">
      <formula1>Checklist!$A$2:$A$62</formula1>
      <formula2>0</formula2>
    </dataValidation>
    <dataValidation allowBlank="true" error="Horas entre 0 e 16." errorStyle="stop" operator="between" showDropDown="false" showErrorMessage="true" showInputMessage="false" sqref="D2:D400" type="decimal">
      <formula1>0</formula1>
      <formula2>16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2"/>
    <col collapsed="false" customWidth="true" hidden="false" outlineLevel="0" max="4" min="4" style="0" width="52"/>
    <col collapsed="false" customWidth="true" hidden="false" outlineLevel="0" max="5" min="5" style="0" width="28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4" t="s">
        <v>292</v>
      </c>
    </row>
    <row r="3" customFormat="false" ht="15" hidden="false" customHeight="false" outlineLevel="0" collapsed="false">
      <c r="A3" s="9" t="s">
        <v>293</v>
      </c>
      <c r="C3" s="34" t="n">
        <v>46321</v>
      </c>
      <c r="D3" s="2" t="s">
        <v>294</v>
      </c>
    </row>
    <row r="5" customFormat="false" ht="26.85" hidden="false" customHeight="false" outlineLevel="0" collapsed="false">
      <c r="A5" s="10" t="s">
        <v>58</v>
      </c>
      <c r="B5" s="10" t="s">
        <v>295</v>
      </c>
      <c r="C5" s="10" t="s">
        <v>296</v>
      </c>
      <c r="D5" s="10" t="s">
        <v>297</v>
      </c>
      <c r="E5" s="10" t="s">
        <v>298</v>
      </c>
      <c r="F5" s="10" t="s">
        <v>2</v>
      </c>
      <c r="G5" s="10" t="s">
        <v>3</v>
      </c>
      <c r="H5" s="10" t="s">
        <v>299</v>
      </c>
    </row>
    <row r="6" customFormat="false" ht="30" hidden="false" customHeight="true" outlineLevel="0" collapsed="false">
      <c r="A6" s="35" t="n">
        <v>1</v>
      </c>
      <c r="B6" s="36" t="n">
        <f aca="false">$C$3+7*(A6-1)</f>
        <v>46321</v>
      </c>
      <c r="C6" s="36" t="n">
        <f aca="false">B6+6</f>
        <v>46327</v>
      </c>
      <c r="D6" s="37" t="s">
        <v>300</v>
      </c>
      <c r="E6" s="37" t="s">
        <v>119</v>
      </c>
      <c r="F6" s="35" t="n">
        <f aca="false">COUNTIF(Checklist!$B$2:$B$62,A6)</f>
        <v>7</v>
      </c>
      <c r="G6" s="35" t="n">
        <f aca="false">COUNTIFS(Checklist!$B$2:$B$62,A6,Checklist!$G$2:$G$62,"Concluído")</f>
        <v>0</v>
      </c>
      <c r="H6" s="38" t="n">
        <f aca="false">IF(F6=0,0,G6/F6)</f>
        <v>0</v>
      </c>
    </row>
    <row r="7" customFormat="false" ht="30" hidden="false" customHeight="true" outlineLevel="0" collapsed="false">
      <c r="A7" s="35" t="n">
        <v>2</v>
      </c>
      <c r="B7" s="36" t="n">
        <f aca="false">$C$3+7*(A7-1)</f>
        <v>46328</v>
      </c>
      <c r="C7" s="36" t="n">
        <f aca="false">B7+6</f>
        <v>46334</v>
      </c>
      <c r="D7" s="37" t="s">
        <v>301</v>
      </c>
      <c r="E7" s="37" t="s">
        <v>302</v>
      </c>
      <c r="F7" s="35" t="n">
        <f aca="false">COUNTIF(Checklist!$B$2:$B$62,A7)</f>
        <v>7</v>
      </c>
      <c r="G7" s="35" t="n">
        <f aca="false">COUNTIFS(Checklist!$B$2:$B$62,A7,Checklist!$G$2:$G$62,"Concluído")</f>
        <v>0</v>
      </c>
      <c r="H7" s="38" t="n">
        <f aca="false">IF(F7=0,0,G7/F7)</f>
        <v>0</v>
      </c>
    </row>
    <row r="8" customFormat="false" ht="30" hidden="false" customHeight="true" outlineLevel="0" collapsed="false">
      <c r="A8" s="35" t="n">
        <v>3</v>
      </c>
      <c r="B8" s="36" t="n">
        <f aca="false">$C$3+7*(A8-1)</f>
        <v>46335</v>
      </c>
      <c r="C8" s="36" t="n">
        <f aca="false">B8+6</f>
        <v>46341</v>
      </c>
      <c r="D8" s="37" t="s">
        <v>303</v>
      </c>
      <c r="E8" s="37" t="s">
        <v>304</v>
      </c>
      <c r="F8" s="35" t="n">
        <f aca="false">COUNTIF(Checklist!$B$2:$B$62,A8)</f>
        <v>9</v>
      </c>
      <c r="G8" s="35" t="n">
        <f aca="false">COUNTIFS(Checklist!$B$2:$B$62,A8,Checklist!$G$2:$G$62,"Concluído")</f>
        <v>0</v>
      </c>
      <c r="H8" s="38" t="n">
        <f aca="false">IF(F8=0,0,G8/F8)</f>
        <v>0</v>
      </c>
    </row>
    <row r="9" customFormat="false" ht="30" hidden="false" customHeight="true" outlineLevel="0" collapsed="false">
      <c r="A9" s="35" t="n">
        <v>4</v>
      </c>
      <c r="B9" s="36" t="n">
        <f aca="false">$C$3+7*(A9-1)</f>
        <v>46342</v>
      </c>
      <c r="C9" s="36" t="n">
        <f aca="false">B9+6</f>
        <v>46348</v>
      </c>
      <c r="D9" s="37" t="s">
        <v>305</v>
      </c>
      <c r="E9" s="37" t="s">
        <v>306</v>
      </c>
      <c r="F9" s="35" t="n">
        <f aca="false">COUNTIF(Checklist!$B$2:$B$62,A9)</f>
        <v>8</v>
      </c>
      <c r="G9" s="35" t="n">
        <f aca="false">COUNTIFS(Checklist!$B$2:$B$62,A9,Checklist!$G$2:$G$62,"Concluído")</f>
        <v>0</v>
      </c>
      <c r="H9" s="38" t="n">
        <f aca="false">IF(F9=0,0,G9/F9)</f>
        <v>0</v>
      </c>
    </row>
    <row r="10" customFormat="false" ht="30" hidden="false" customHeight="true" outlineLevel="0" collapsed="false">
      <c r="A10" s="35" t="n">
        <v>5</v>
      </c>
      <c r="B10" s="36" t="n">
        <f aca="false">$C$3+7*(A10-1)</f>
        <v>46349</v>
      </c>
      <c r="C10" s="36" t="n">
        <f aca="false">B10+6</f>
        <v>46355</v>
      </c>
      <c r="D10" s="37" t="s">
        <v>307</v>
      </c>
      <c r="E10" s="37" t="s">
        <v>308</v>
      </c>
      <c r="F10" s="35" t="n">
        <f aca="false">COUNTIF(Checklist!$B$2:$B$62,A10)</f>
        <v>7</v>
      </c>
      <c r="G10" s="35" t="n">
        <f aca="false">COUNTIFS(Checklist!$B$2:$B$62,A10,Checklist!$G$2:$G$62,"Concluído")</f>
        <v>0</v>
      </c>
      <c r="H10" s="38" t="n">
        <f aca="false">IF(F10=0,0,G10/F10)</f>
        <v>0</v>
      </c>
    </row>
    <row r="11" customFormat="false" ht="30" hidden="false" customHeight="true" outlineLevel="0" collapsed="false">
      <c r="A11" s="35" t="n">
        <v>6</v>
      </c>
      <c r="B11" s="36" t="n">
        <f aca="false">$C$3+7*(A11-1)</f>
        <v>46356</v>
      </c>
      <c r="C11" s="36" t="n">
        <f aca="false">B11+6</f>
        <v>46362</v>
      </c>
      <c r="D11" s="37" t="s">
        <v>309</v>
      </c>
      <c r="E11" s="37" t="s">
        <v>310</v>
      </c>
      <c r="F11" s="35" t="n">
        <f aca="false">COUNTIF(Checklist!$B$2:$B$62,A11)</f>
        <v>6</v>
      </c>
      <c r="G11" s="35" t="n">
        <f aca="false">COUNTIFS(Checklist!$B$2:$B$62,A11,Checklist!$G$2:$G$62,"Concluído")</f>
        <v>0</v>
      </c>
      <c r="H11" s="38" t="n">
        <f aca="false">IF(F11=0,0,G11/F11)</f>
        <v>0</v>
      </c>
    </row>
    <row r="12" customFormat="false" ht="30" hidden="false" customHeight="true" outlineLevel="0" collapsed="false">
      <c r="A12" s="35" t="n">
        <v>7</v>
      </c>
      <c r="B12" s="36" t="n">
        <f aca="false">$C$3+7*(A12-1)</f>
        <v>46363</v>
      </c>
      <c r="C12" s="36" t="n">
        <f aca="false">B12+6</f>
        <v>46369</v>
      </c>
      <c r="D12" s="37" t="s">
        <v>311</v>
      </c>
      <c r="E12" s="37" t="s">
        <v>310</v>
      </c>
      <c r="F12" s="35" t="n">
        <f aca="false">COUNTIF(Checklist!$B$2:$B$62,A12)</f>
        <v>7</v>
      </c>
      <c r="G12" s="35" t="n">
        <f aca="false">COUNTIFS(Checklist!$B$2:$B$62,A12,Checklist!$G$2:$G$62,"Concluído")</f>
        <v>0</v>
      </c>
      <c r="H12" s="38" t="n">
        <f aca="false">IF(F12=0,0,G12/F12)</f>
        <v>0</v>
      </c>
    </row>
    <row r="13" customFormat="false" ht="30" hidden="false" customHeight="true" outlineLevel="0" collapsed="false">
      <c r="A13" s="35" t="n">
        <v>8</v>
      </c>
      <c r="B13" s="36" t="n">
        <f aca="false">$C$3+7*(A13-1)</f>
        <v>46370</v>
      </c>
      <c r="C13" s="36" t="n">
        <f aca="false">B13+6</f>
        <v>46376</v>
      </c>
      <c r="D13" s="37" t="s">
        <v>312</v>
      </c>
      <c r="E13" s="37" t="s">
        <v>313</v>
      </c>
      <c r="F13" s="35" t="n">
        <f aca="false">COUNTIF(Checklist!$B$2:$B$62,A13)</f>
        <v>10</v>
      </c>
      <c r="G13" s="35" t="n">
        <f aca="false">COUNTIFS(Checklist!$B$2:$B$62,A13,Checklist!$G$2:$G$62,"Concluído")</f>
        <v>0</v>
      </c>
      <c r="H13" s="38" t="n">
        <f aca="false">IF(F13=0,0,G13/F13)</f>
        <v>0</v>
      </c>
    </row>
  </sheetData>
  <conditionalFormatting sqref="H6:H13">
    <cfRule type="dataBar" priority="2">
      <dataBar showValue="1" minLength="10" maxLength="90"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{453DBB20-A4CD-48E7-87BE-6D871434F437}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3DBB20-A4CD-48E7-87BE-6D871434F43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5B6"/>
              <x14:axisColor rgb="FF000000"/>
            </x14:dataBar>
          </x14:cfRule>
          <xm:sqref>H6:H13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2026-10-20T18:15:28Z</dcterms:created>
  <dc:creator>openpyxl</dc:creator>
  <dc:description/>
  <dc:language>en-US</dc:language>
  <cp:lastModifiedBy/>
  <dcterms:modified xsi:type="dcterms:W3CDTF">2026-10-20T18:15:39Z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